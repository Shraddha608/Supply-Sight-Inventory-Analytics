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58671c205c9ff6a/Desktop/"/>
    </mc:Choice>
  </mc:AlternateContent>
  <xr:revisionPtr revIDLastSave="11" documentId="8_{1BDD9BF3-DB89-4941-B423-33C1FDB8671E}" xr6:coauthVersionLast="47" xr6:coauthVersionMax="47" xr10:uidLastSave="{AC433D54-09D5-4440-88B6-F408FE89A596}"/>
  <bookViews>
    <workbookView xWindow="-96" yWindow="0" windowWidth="11712" windowHeight="12336" firstSheet="5" activeTab="6" xr2:uid="{00000000-000D-0000-FFFF-FFFF00000000}"/>
  </bookViews>
  <sheets>
    <sheet name="Products" sheetId="1" r:id="rId1"/>
    <sheet name="Supplier" sheetId="2" r:id="rId2"/>
    <sheet name="PurchaseOrders" sheetId="3" r:id="rId3"/>
    <sheet name="InventoryTransactions" sheetId="4" r:id="rId4"/>
    <sheet name="DemandForecast" sheetId="5" r:id="rId5"/>
    <sheet name="Calender" sheetId="6" r:id="rId6"/>
    <sheet name="DataQualityChecks" sheetId="7" r:id="rId7"/>
  </sheets>
  <definedNames>
    <definedName name="_xlnm._FilterDatabase" localSheetId="0" hidden="1">Products!$A$1:$H$11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7" l="1" a="1"/>
  <c r="B10" i="7" s="1"/>
  <c r="B11" i="7" a="1"/>
  <c r="B11" i="7" s="1"/>
  <c r="B9" i="7" a="1"/>
  <c r="B9" i="7" s="1"/>
  <c r="B8" i="7" a="1"/>
  <c r="B8" i="7" s="1"/>
  <c r="B4" i="7" a="1"/>
  <c r="B4" i="7" s="1"/>
  <c r="B7" i="7"/>
  <c r="B6" i="7"/>
  <c r="B5" i="7"/>
  <c r="B3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<sst xmlns="http://schemas.openxmlformats.org/spreadsheetml/2006/main" count="1217" uniqueCount="327">
  <si>
    <t>ProductID</t>
  </si>
  <si>
    <t>ProductName</t>
  </si>
  <si>
    <t>Category</t>
  </si>
  <si>
    <t>UnitCost</t>
  </si>
  <si>
    <t>ReorderLevel</t>
  </si>
  <si>
    <t>SafetyStock</t>
  </si>
  <si>
    <t>LeadTimeDays</t>
  </si>
  <si>
    <t>SupplierID</t>
  </si>
  <si>
    <t>Table Grain</t>
  </si>
  <si>
    <t>PRD001</t>
  </si>
  <si>
    <t>Industrial Battery</t>
  </si>
  <si>
    <t>Electrical</t>
  </si>
  <si>
    <t>SUP003</t>
  </si>
  <si>
    <t>One row = one unique product</t>
  </si>
  <si>
    <t>PRD002</t>
  </si>
  <si>
    <t>Safety Helmet</t>
  </si>
  <si>
    <t>Safety</t>
  </si>
  <si>
    <t>SUP001</t>
  </si>
  <si>
    <t>PRD003</t>
  </si>
  <si>
    <t>Steel Pipe</t>
  </si>
  <si>
    <t>Construction</t>
  </si>
  <si>
    <t>SUP002</t>
  </si>
  <si>
    <t>PRD004</t>
  </si>
  <si>
    <t>Copper Cable</t>
  </si>
  <si>
    <t>SUP004</t>
  </si>
  <si>
    <t>PRD005</t>
  </si>
  <si>
    <t>Hydraulic Pump</t>
  </si>
  <si>
    <t>Mechanical</t>
  </si>
  <si>
    <t>SUP005</t>
  </si>
  <si>
    <t>PRD006</t>
  </si>
  <si>
    <t>Protective Gloves</t>
  </si>
  <si>
    <t>PRD007</t>
  </si>
  <si>
    <t>Electric Motor</t>
  </si>
  <si>
    <t>PRD008</t>
  </si>
  <si>
    <t>Welding Rods</t>
  </si>
  <si>
    <t>Tools</t>
  </si>
  <si>
    <t>SUP006</t>
  </si>
  <si>
    <t>PRD009</t>
  </si>
  <si>
    <t>Bearing Assembly</t>
  </si>
  <si>
    <t>PRD010</t>
  </si>
  <si>
    <t>Safety Boots</t>
  </si>
  <si>
    <t>SUP007</t>
  </si>
  <si>
    <t>SupplierName</t>
  </si>
  <si>
    <t>City</t>
  </si>
  <si>
    <t>ContactPerson</t>
  </si>
  <si>
    <t>Rating</t>
  </si>
  <si>
    <t>ContractStartDate</t>
  </si>
  <si>
    <t>Alpha Industrial Supplies</t>
  </si>
  <si>
    <t>Delhi</t>
  </si>
  <si>
    <t>Rajiv Sharma</t>
  </si>
  <si>
    <t>Metro Steel &amp; Hardware</t>
  </si>
  <si>
    <t>Mumbai</t>
  </si>
  <si>
    <t>Neha Kapoor</t>
  </si>
  <si>
    <t>Prime Equipment Solutions</t>
  </si>
  <si>
    <t>Jaipur</t>
  </si>
  <si>
    <t>Amit Verma</t>
  </si>
  <si>
    <t>National Electrical Traders</t>
  </si>
  <si>
    <t>Pune</t>
  </si>
  <si>
    <t>Priya Mehta</t>
  </si>
  <si>
    <t>Precision Mechanical Works</t>
  </si>
  <si>
    <t>Ahmedabad</t>
  </si>
  <si>
    <t>Suresh Patel</t>
  </si>
  <si>
    <t>TechLine Tools &amp; Components</t>
  </si>
  <si>
    <t>Chennai</t>
  </si>
  <si>
    <t>Arun Kumar</t>
  </si>
  <si>
    <t>SafeGuard Industrial Products</t>
  </si>
  <si>
    <t>Bengaluru</t>
  </si>
  <si>
    <t>Kavya Rao</t>
  </si>
  <si>
    <t>SUP008</t>
  </si>
  <si>
    <t>NorthStar Engineering Supplies</t>
  </si>
  <si>
    <t>Chandigarh</t>
  </si>
  <si>
    <t>Mohit Singh</t>
  </si>
  <si>
    <t>SUP009</t>
  </si>
  <si>
    <t>Universal Procurement Solutions</t>
  </si>
  <si>
    <t>Hyderabad</t>
  </si>
  <si>
    <t>Anjali Reddy</t>
  </si>
  <si>
    <t>SUP010</t>
  </si>
  <si>
    <t>Eastern Equipment Corporation</t>
  </si>
  <si>
    <t>Kolkata</t>
  </si>
  <si>
    <t>Vikram Das</t>
  </si>
  <si>
    <t>PO_ID</t>
  </si>
  <si>
    <t>OrderDate</t>
  </si>
  <si>
    <t>QuantityOrdered</t>
  </si>
  <si>
    <t>UnitPrice</t>
  </si>
  <si>
    <t>ExpectedDeliveryDate</t>
  </si>
  <si>
    <t>ActualDeliveryDate</t>
  </si>
  <si>
    <t>POStatus</t>
  </si>
  <si>
    <t>PO001</t>
  </si>
  <si>
    <t>Delivered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</si>
  <si>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</si>
  <si>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</si>
  <si>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</si>
  <si>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</si>
  <si>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</si>
  <si>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</si>
  <si>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</si>
  <si>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</si>
  <si>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</si>
  <si>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</si>
  <si>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</si>
  <si>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</si>
  <si>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</si>
  <si>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</si>
  <si>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</si>
  <si>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</si>
  <si>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PO018</t>
  </si>
  <si>
    <t>PO019</t>
  </si>
  <si>
    <t>PO020</t>
  </si>
  <si>
    <t>PO021</t>
  </si>
  <si>
    <t>PO022</t>
  </si>
  <si>
    <t>PO023</t>
  </si>
  <si>
    <t>PO024</t>
  </si>
  <si>
    <t>PO025</t>
  </si>
  <si>
    <t>PO026</t>
  </si>
  <si>
    <t>PO027</t>
  </si>
  <si>
    <t>PO028</t>
  </si>
  <si>
    <t>PO029</t>
  </si>
  <si>
    <t>PO030</t>
  </si>
  <si>
    <t>PO031</t>
  </si>
  <si>
    <t>PO032</t>
  </si>
  <si>
    <t>PO033</t>
  </si>
  <si>
    <t>PO034</t>
  </si>
  <si>
    <t>PO035</t>
  </si>
  <si>
    <t>PO036</t>
  </si>
  <si>
    <t>PO037</t>
  </si>
  <si>
    <t>PO038</t>
  </si>
  <si>
    <t>PO039</t>
  </si>
  <si>
    <t>PO040</t>
  </si>
  <si>
    <t>PO041</t>
  </si>
  <si>
    <t>PO042</t>
  </si>
  <si>
    <t>PO043</t>
  </si>
  <si>
    <t>PO044</t>
  </si>
  <si>
    <t>PO045</t>
  </si>
  <si>
    <t>PO046</t>
  </si>
  <si>
    <t>PO047</t>
  </si>
  <si>
    <t>PO048</t>
  </si>
  <si>
    <t>PO049</t>
  </si>
  <si>
    <t>PO050</t>
  </si>
  <si>
    <t>TransactionID</t>
  </si>
  <si>
    <t>TransactionDate</t>
  </si>
  <si>
    <t>TransactionType</t>
  </si>
  <si>
    <t>Quantity</t>
  </si>
  <si>
    <t>ReferenceID</t>
  </si>
  <si>
    <t>TRX001</t>
  </si>
  <si>
    <t>Received</t>
  </si>
  <si>
    <t>TRX002</t>
  </si>
  <si>
    <t>Issued</t>
  </si>
  <si>
    <t>ISS001</t>
  </si>
  <si>
    <t>TRX003</t>
  </si>
  <si>
    <t>TRX004</t>
  </si>
  <si>
    <t>ISS002</t>
  </si>
  <si>
    <t>TRX005</t>
  </si>
  <si>
    <t>TRX006</t>
  </si>
  <si>
    <t>ISS003</t>
  </si>
  <si>
    <t>TRX007</t>
  </si>
  <si>
    <t>TRX008</t>
  </si>
  <si>
    <t>ISS004</t>
  </si>
  <si>
    <t>TRX009</t>
  </si>
  <si>
    <t>TRX010</t>
  </si>
  <si>
    <t>ISS005</t>
  </si>
  <si>
    <t>TRX011</t>
  </si>
  <si>
    <t>TRX012</t>
  </si>
  <si>
    <t>ISS006</t>
  </si>
  <si>
    <t>TRX013</t>
  </si>
  <si>
    <t>TRX014</t>
  </si>
  <si>
    <t>ISS007</t>
  </si>
  <si>
    <t>TRX015</t>
  </si>
  <si>
    <t>TRX016</t>
  </si>
  <si>
    <t>ISS008</t>
  </si>
  <si>
    <t>TRX017</t>
  </si>
  <si>
    <t>TRX018</t>
  </si>
  <si>
    <t>ISS009</t>
  </si>
  <si>
    <t>TRX019</t>
  </si>
  <si>
    <t>TRX020</t>
  </si>
  <si>
    <t>ISS010</t>
  </si>
  <si>
    <t>TRX021</t>
  </si>
  <si>
    <t>TRX022</t>
  </si>
  <si>
    <t>ISS011</t>
  </si>
  <si>
    <t>TRX023</t>
  </si>
  <si>
    <t>TRX024</t>
  </si>
  <si>
    <t>ISS012</t>
  </si>
  <si>
    <t>TRX025</t>
  </si>
  <si>
    <t>TRX026</t>
  </si>
  <si>
    <t>ISS013</t>
  </si>
  <si>
    <t>TRX027</t>
  </si>
  <si>
    <t>TRX028</t>
  </si>
  <si>
    <t>ISS014</t>
  </si>
  <si>
    <t>TRX029</t>
  </si>
  <si>
    <t>TRX030</t>
  </si>
  <si>
    <t>ISS015</t>
  </si>
  <si>
    <t>TRX031</t>
  </si>
  <si>
    <t>TRX032</t>
  </si>
  <si>
    <t>ISS016</t>
  </si>
  <si>
    <t>TRX033</t>
  </si>
  <si>
    <t>TRX034</t>
  </si>
  <si>
    <t>ISS017</t>
  </si>
  <si>
    <t>TRX035</t>
  </si>
  <si>
    <t>TRX036</t>
  </si>
  <si>
    <t>ISS018</t>
  </si>
  <si>
    <t>TRX037</t>
  </si>
  <si>
    <t>TRX038</t>
  </si>
  <si>
    <t>ISS019</t>
  </si>
  <si>
    <t>TRX039</t>
  </si>
  <si>
    <t>TRX040</t>
  </si>
  <si>
    <t>ISS020</t>
  </si>
  <si>
    <t>TRX041</t>
  </si>
  <si>
    <t>TRX042</t>
  </si>
  <si>
    <t>ISS021</t>
  </si>
  <si>
    <t>TRX043</t>
  </si>
  <si>
    <t>TRX044</t>
  </si>
  <si>
    <t>ISS022</t>
  </si>
  <si>
    <t>TRX045</t>
  </si>
  <si>
    <t>TRX046</t>
  </si>
  <si>
    <t>ISS023</t>
  </si>
  <si>
    <t>TRX047</t>
  </si>
  <si>
    <t>TRX048</t>
  </si>
  <si>
    <t>ISS024</t>
  </si>
  <si>
    <t>TRX049</t>
  </si>
  <si>
    <t>TRX050</t>
  </si>
  <si>
    <t>ISS025</t>
  </si>
  <si>
    <t>TRX051</t>
  </si>
  <si>
    <t>TRX052</t>
  </si>
  <si>
    <t>ISS026</t>
  </si>
  <si>
    <t>TRX053</t>
  </si>
  <si>
    <t>TRX054</t>
  </si>
  <si>
    <t>ISS027</t>
  </si>
  <si>
    <t>TRX055</t>
  </si>
  <si>
    <t>TRX056</t>
  </si>
  <si>
    <t>ISS028</t>
  </si>
  <si>
    <t>TRX057</t>
  </si>
  <si>
    <t>TRX058</t>
  </si>
  <si>
    <t>ISS029</t>
  </si>
  <si>
    <t>TRX059</t>
  </si>
  <si>
    <t>TRX060</t>
  </si>
  <si>
    <t>ISS030</t>
  </si>
  <si>
    <t>TRX061</t>
  </si>
  <si>
    <t>TRX062</t>
  </si>
  <si>
    <t>ISS031</t>
  </si>
  <si>
    <t>TRX063</t>
  </si>
  <si>
    <t>TRX064</t>
  </si>
  <si>
    <t>ISS032</t>
  </si>
  <si>
    <t>TRX065</t>
  </si>
  <si>
    <t>TRX066</t>
  </si>
  <si>
    <t>ISS033</t>
  </si>
  <si>
    <t>TRX067</t>
  </si>
  <si>
    <t>TRX068</t>
  </si>
  <si>
    <t>ISS034</t>
  </si>
  <si>
    <t>TRX069</t>
  </si>
  <si>
    <t>TRX070</t>
  </si>
  <si>
    <t>ISS035</t>
  </si>
  <si>
    <t>TRX071</t>
  </si>
  <si>
    <t>TRX072</t>
  </si>
  <si>
    <t>ISS036</t>
  </si>
  <si>
    <t>TRX073</t>
  </si>
  <si>
    <t>TRX074</t>
  </si>
  <si>
    <t>ISS037</t>
  </si>
  <si>
    <t>TRX075</t>
  </si>
  <si>
    <t>TRX076</t>
  </si>
  <si>
    <t>ISS038</t>
  </si>
  <si>
    <t>TRX077</t>
  </si>
  <si>
    <t>TRX078</t>
  </si>
  <si>
    <t>ISS039</t>
  </si>
  <si>
    <t>TRX079</t>
  </si>
  <si>
    <t>TRX080</t>
  </si>
  <si>
    <t>ISS040</t>
  </si>
  <si>
    <t>TRX081</t>
  </si>
  <si>
    <t>TRX082</t>
  </si>
  <si>
    <t>ISS041</t>
  </si>
  <si>
    <t>TRX083</t>
  </si>
  <si>
    <t>TRX084</t>
  </si>
  <si>
    <t>ISS042</t>
  </si>
  <si>
    <t>TRX085</t>
  </si>
  <si>
    <t>TRX086</t>
  </si>
  <si>
    <t>ISS043</t>
  </si>
  <si>
    <t>TRX087</t>
  </si>
  <si>
    <t>TRX088</t>
  </si>
  <si>
    <t>ISS044</t>
  </si>
  <si>
    <t>TRX089</t>
  </si>
  <si>
    <t>TRX090</t>
  </si>
  <si>
    <t>ISS045</t>
  </si>
  <si>
    <t>TRX091</t>
  </si>
  <si>
    <t>TRX092</t>
  </si>
  <si>
    <t>ISS046</t>
  </si>
  <si>
    <t>TRX093</t>
  </si>
  <si>
    <t>TRX094</t>
  </si>
  <si>
    <t>ISS047</t>
  </si>
  <si>
    <t>TRX095</t>
  </si>
  <si>
    <t>TRX096</t>
  </si>
  <si>
    <t>ISS048</t>
  </si>
  <si>
    <t>TRX097</t>
  </si>
  <si>
    <t>TRX098</t>
  </si>
  <si>
    <t>ISS049</t>
  </si>
  <si>
    <t>TRX099</t>
  </si>
  <si>
    <t>TRX100</t>
  </si>
  <si>
    <t>ISS050</t>
  </si>
  <si>
    <t>ForecastMonth</t>
  </si>
  <si>
    <t>MonthlyDemand</t>
  </si>
  <si>
    <t>Date</t>
  </si>
  <si>
    <t>Year</t>
  </si>
  <si>
    <t>Month</t>
  </si>
  <si>
    <t>Month Number</t>
  </si>
  <si>
    <t>Month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</si>
  <si>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</si>
  <si>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</si>
  <si>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</si>
  <si>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</si>
  <si>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</si>
  <si>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</si>
  <si>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</si>
  <si>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</si>
  <si>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</si>
  <si>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</si>
  <si>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</si>
  <si>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</si>
  <si>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 Quality Check</t>
  </si>
  <si>
    <t>Result</t>
  </si>
  <si>
    <t>Status</t>
  </si>
  <si>
    <t>Missing Product IDs</t>
  </si>
  <si>
    <t>Missing Supplier IDs</t>
  </si>
  <si>
    <t>Duplicate PO IDs</t>
  </si>
  <si>
    <t>Blank Delivery Dates</t>
  </si>
  <si>
    <t>Invalid PO Quantities</t>
  </si>
  <si>
    <t>Invalid Transaction Quantities</t>
  </si>
  <si>
    <t>Invalid Product IDs in PurchaseOrders</t>
  </si>
  <si>
    <t>Invalid Supplier IDs in PurchaseOrders</t>
  </si>
  <si>
    <t>Invalid Product IDs in InventoryTransactions</t>
  </si>
  <si>
    <t>Duplicate Transaction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</si>
</sst>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10">
    <dxf>
      <numFmt numFmtId="22" formatCode="mmm/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\₹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C29214-F045-484C-BE9D-16D932F853AF}" name="Table2" displayName="Table2" ref="A1:H11" totalsRowShown="0" headerRowDxfId="9">
  <autoFilter ref="A1:H11" xr:uid="{00000000-0009-0000-0000-000000000000}"/>
  <tableColumns count="8">
    <tableColumn id="1" xr3:uid="{F4C700A3-D698-409E-9EAA-6E5503C63BB3}" name="ProductID"/>
    <tableColumn id="2" xr3:uid="{E4D93C00-99D8-46D1-82E8-45C3584F0EE0}" name="ProductName"/>
    <tableColumn id="3" xr3:uid="{BB9A6A61-46F2-4BE3-B634-9AE0D3CFA8F0}" name="Category"/>
    <tableColumn id="4" xr3:uid="{545FF577-6223-4949-B739-DFD9D38813BF}" name="UnitCost" dataDxfId="8"/>
    <tableColumn id="5" xr3:uid="{8A704EB4-B378-4F64-A383-170F66D03D91}" name="ReorderLevel"/>
    <tableColumn id="6" xr3:uid="{F42D8738-F324-4123-8D9C-D4EF3377FEE1}" name="SafetyStock"/>
    <tableColumn id="7" xr3:uid="{9DF6F1FC-B3B1-4828-889B-7ACEE07879B9}" name="LeadTimeDays"/>
    <tableColumn id="8" xr3:uid="{F19A4AF6-D7D7-4E5D-9572-FBC969D8C3DC}" name="Supplier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F5375-B562-4EA7-8F4D-B8707F411492}" name="Table1" displayName="Table1" ref="A1:F11" totalsRowShown="0">
  <autoFilter ref="A1:F11" xr:uid="{D2FF5375-B562-4EA7-8F4D-B8707F411492}"/>
  <tableColumns count="6">
    <tableColumn id="1" xr3:uid="{7F30A7B9-423C-45EE-8DC0-D55F0377302F}" name="SupplierID"/>
    <tableColumn id="2" xr3:uid="{E0159036-F8A8-4B90-9C55-BE0E65C86536}" name="SupplierName"/>
    <tableColumn id="3" xr3:uid="{1E4268C6-F85F-45DB-932C-764775151080}" name="City"/>
    <tableColumn id="4" xr3:uid="{31DD6B1A-8A8D-4B6A-B2CF-5E528DDF669A}" name="ContactPerson"/>
    <tableColumn id="5" xr3:uid="{553DC07C-E825-49D7-A7C8-74A6593D4DDF}" name="Rating"/>
    <tableColumn id="6" xr3:uid="{684C9FE1-597B-40CA-95CF-74E4E9FFCF8E}" name="ContractStartDate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372199-9623-45B7-ACCA-CFEE65C56B60}" name="Table3" displayName="Table3" ref="A1:I51" totalsRowShown="0">
  <autoFilter ref="A1:I51" xr:uid="{B5372199-9623-45B7-ACCA-CFEE65C56B60}"/>
  <tableColumns count="9">
    <tableColumn id="1" xr3:uid="{C31F517C-9C8D-471F-9DB1-41312A24053F}" name="PO_ID"/>
    <tableColumn id="2" xr3:uid="{15FCB0BC-26E1-487C-A3A9-7E5A8A29A462}" name="OrderDate" dataDxfId="6"/>
    <tableColumn id="3" xr3:uid="{BEBBF6CA-AB07-44B5-A2B2-A46FE07DE09D}" name="SupplierID"/>
    <tableColumn id="4" xr3:uid="{0101768D-09FF-4B06-926B-69EBAA608D53}" name="ProductID"/>
    <tableColumn id="5" xr3:uid="{81AF5823-F3C1-4D20-AC0B-05D501AC3447}" name="QuantityOrdered"/>
    <tableColumn id="6" xr3:uid="{784DAC5D-3E7C-46EB-9BDC-839EBB9E12BA}" name="UnitPrice"/>
    <tableColumn id="7" xr3:uid="{D1BD74EB-C278-4893-9B76-86D08229B0EA}" name="ExpectedDeliveryDate" dataDxfId="5"/>
    <tableColumn id="8" xr3:uid="{2EBCB504-3FA7-407C-B022-6447ED1172C4}" name="ActualDeliveryDate" dataDxfId="4"/>
    <tableColumn id="9" xr3:uid="{7AD6622D-7699-49CB-BE1A-3714A80B4287}" name="PO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ECFB65-F7F8-481C-8756-EBB465FD4D89}" name="Table4" displayName="Table4" ref="A1:F101" totalsRowShown="0">
  <autoFilter ref="A1:F101" xr:uid="{70ECFB65-F7F8-481C-8756-EBB465FD4D89}"/>
  <tableColumns count="6">
    <tableColumn id="1" xr3:uid="{21B846B3-09E5-4C87-84E2-139710295979}" name="TransactionID"/>
    <tableColumn id="2" xr3:uid="{95CBFE01-0168-4A96-8EB6-9D05B488C75E}" name="TransactionDate" dataDxfId="3"/>
    <tableColumn id="3" xr3:uid="{1B412D0A-B4ED-448E-BA93-2F46E102E7DC}" name="ProductID"/>
    <tableColumn id="4" xr3:uid="{AF68D24E-40D4-45D3-A419-8AD28CED8977}" name="TransactionType"/>
    <tableColumn id="5" xr3:uid="{414FF581-02B7-4DB3-B4D2-E65546E41C5C}" name="Quantity"/>
    <tableColumn id="6" xr3:uid="{87958B5E-B604-4D38-BF92-8424A39DA587}" name="Reference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F51D73-CBE1-4BA3-B6D0-494F51DE2E96}" name="Table5" displayName="Table5" ref="A1:C121" totalsRowShown="0">
  <autoFilter ref="A1:C121" xr:uid="{2BF51D73-CBE1-4BA3-B6D0-494F51DE2E96}"/>
  <tableColumns count="3">
    <tableColumn id="1" xr3:uid="{17C4821E-F530-4A24-8147-5D2447E42AEC}" name="ProductID"/>
    <tableColumn id="2" xr3:uid="{C8BAFAF3-51E8-4518-8F9A-173B9A3E2531}" name="ForecastMonth" dataDxfId="2"/>
    <tableColumn id="3" xr3:uid="{9AEDB018-B57F-46AB-8224-19FA551442BA}" name="MonthlyDeman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F69466-095C-4DA3-8855-3B8D53A2D393}" name="Table6" displayName="Table6" ref="A1:E366" totalsRowShown="0">
  <autoFilter ref="A1:E366" xr:uid="{6FF69466-095C-4DA3-8855-3B8D53A2D393}"/>
  <tableColumns count="5">
    <tableColumn id="1" xr3:uid="{CB1004AF-2FD2-4EC3-B0AF-F8FB94708CC6}" name="Date" dataDxfId="1"/>
    <tableColumn id="2" xr3:uid="{752C43B1-C40D-4F0A-8826-FB6D8BAE209F}" name="Year"/>
    <tableColumn id="3" xr3:uid="{14739201-5BF7-44C7-929B-D633EC8572E8}" name="Month"/>
    <tableColumn id="4" xr3:uid="{48C775E3-CC6E-4B41-B18A-F20D548204E6}" name="Month Number"/>
    <tableColumn id="5" xr3:uid="{7FCAE7C9-6176-4B84-BC02-ABBD9F14107F}" name="Month Ye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71" workbookViewId="0">
      <pane ySplit="1" topLeftCell="A4" activePane="bottomLeft" state="frozen"/>
      <selection pane="bottomLeft" activeCell="C26" sqref="C26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4" customWidth="1"/>
    <col min="5" max="5" width="16" customWidth="1"/>
    <col min="6" max="6" width="14" customWidth="1"/>
    <col min="7" max="7" width="15.21875" customWidth="1"/>
    <col min="8" max="8" width="14" customWidth="1"/>
    <col min="10" max="10" width="2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 x14ac:dyDescent="0.3">
      <c r="A2" t="s">
        <v>9</v>
      </c>
      <c r="B2" t="s">
        <v>10</v>
      </c>
      <c r="C2" t="s">
        <v>11</v>
      </c>
      <c r="D2" s="3">
        <v>4500</v>
      </c>
      <c r="E2">
        <v>20</v>
      </c>
      <c r="F2">
        <v>10</v>
      </c>
      <c r="G2">
        <v>14</v>
      </c>
      <c r="H2" t="s">
        <v>12</v>
      </c>
      <c r="J2" s="4" t="s">
        <v>13</v>
      </c>
    </row>
    <row r="3" spans="1:10" x14ac:dyDescent="0.3">
      <c r="A3" t="s">
        <v>14</v>
      </c>
      <c r="B3" t="s">
        <v>15</v>
      </c>
      <c r="C3" t="s">
        <v>16</v>
      </c>
      <c r="D3" s="3">
        <v>1200</v>
      </c>
      <c r="E3">
        <v>30</v>
      </c>
      <c r="F3">
        <v>15</v>
      </c>
      <c r="G3">
        <v>7</v>
      </c>
      <c r="H3" t="s">
        <v>17</v>
      </c>
    </row>
    <row r="4" spans="1:10" x14ac:dyDescent="0.3">
      <c r="A4" t="s">
        <v>18</v>
      </c>
      <c r="B4" t="s">
        <v>19</v>
      </c>
      <c r="C4" t="s">
        <v>20</v>
      </c>
      <c r="D4" s="3">
        <v>2500</v>
      </c>
      <c r="E4">
        <v>15</v>
      </c>
      <c r="F4">
        <v>8</v>
      </c>
      <c r="G4">
        <v>12</v>
      </c>
      <c r="H4" t="s">
        <v>21</v>
      </c>
    </row>
    <row r="5" spans="1:10" x14ac:dyDescent="0.3">
      <c r="A5" t="s">
        <v>22</v>
      </c>
      <c r="B5" t="s">
        <v>23</v>
      </c>
      <c r="C5" t="s">
        <v>11</v>
      </c>
      <c r="D5" s="3">
        <v>1800</v>
      </c>
      <c r="E5">
        <v>25</v>
      </c>
      <c r="F5">
        <v>12</v>
      </c>
      <c r="G5">
        <v>10</v>
      </c>
      <c r="H5" t="s">
        <v>24</v>
      </c>
    </row>
    <row r="6" spans="1:10" x14ac:dyDescent="0.3">
      <c r="A6" t="s">
        <v>25</v>
      </c>
      <c r="B6" t="s">
        <v>26</v>
      </c>
      <c r="C6" t="s">
        <v>27</v>
      </c>
      <c r="D6" s="3">
        <v>8500</v>
      </c>
      <c r="E6">
        <v>10</v>
      </c>
      <c r="F6">
        <v>5</v>
      </c>
      <c r="G6">
        <v>18</v>
      </c>
      <c r="H6" t="s">
        <v>28</v>
      </c>
    </row>
    <row r="7" spans="1:10" x14ac:dyDescent="0.3">
      <c r="A7" t="s">
        <v>29</v>
      </c>
      <c r="B7" t="s">
        <v>30</v>
      </c>
      <c r="C7" t="s">
        <v>16</v>
      </c>
      <c r="D7" s="3">
        <v>450</v>
      </c>
      <c r="E7">
        <v>50</v>
      </c>
      <c r="F7">
        <v>25</v>
      </c>
      <c r="G7">
        <v>6</v>
      </c>
      <c r="H7" t="s">
        <v>17</v>
      </c>
    </row>
    <row r="8" spans="1:10" x14ac:dyDescent="0.3">
      <c r="A8" t="s">
        <v>31</v>
      </c>
      <c r="B8" t="s">
        <v>32</v>
      </c>
      <c r="C8" t="s">
        <v>11</v>
      </c>
      <c r="D8" s="3">
        <v>12000</v>
      </c>
      <c r="E8">
        <v>8</v>
      </c>
      <c r="F8">
        <v>4</v>
      </c>
      <c r="G8">
        <v>21</v>
      </c>
      <c r="H8" t="s">
        <v>12</v>
      </c>
    </row>
    <row r="9" spans="1:10" x14ac:dyDescent="0.3">
      <c r="A9" t="s">
        <v>33</v>
      </c>
      <c r="B9" t="s">
        <v>34</v>
      </c>
      <c r="C9" t="s">
        <v>35</v>
      </c>
      <c r="D9" s="3">
        <v>650</v>
      </c>
      <c r="E9">
        <v>40</v>
      </c>
      <c r="F9">
        <v>20</v>
      </c>
      <c r="G9">
        <v>8</v>
      </c>
      <c r="H9" t="s">
        <v>36</v>
      </c>
    </row>
    <row r="10" spans="1:10" x14ac:dyDescent="0.3">
      <c r="A10" t="s">
        <v>37</v>
      </c>
      <c r="B10" t="s">
        <v>38</v>
      </c>
      <c r="C10" t="s">
        <v>27</v>
      </c>
      <c r="D10" s="3">
        <v>3200</v>
      </c>
      <c r="E10">
        <v>18</v>
      </c>
      <c r="F10">
        <v>9</v>
      </c>
      <c r="G10">
        <v>15</v>
      </c>
      <c r="H10" t="s">
        <v>28</v>
      </c>
    </row>
    <row r="11" spans="1:10" x14ac:dyDescent="0.3">
      <c r="A11" t="s">
        <v>39</v>
      </c>
      <c r="B11" t="s">
        <v>40</v>
      </c>
      <c r="C11" t="s">
        <v>16</v>
      </c>
      <c r="D11" s="3">
        <v>2800</v>
      </c>
      <c r="E11">
        <v>25</v>
      </c>
      <c r="F11">
        <v>12</v>
      </c>
      <c r="G11">
        <v>9</v>
      </c>
      <c r="H11" t="s">
        <v>41</v>
      </c>
    </row>
  </sheetData>
  <dataValidations count="2">
    <dataValidation type="whole" operator="greaterThan" sqref="E2:G11" xr:uid="{00000000-0002-0000-0000-000000000000}">
      <formula1>0</formula1>
    </dataValidation>
    <dataValidation type="decimal" operator="greaterThan" sqref="D2:D11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C6FA-91C4-458A-8C32-82281CE44FF0}">
  <dimension ref="A1:F11"/>
  <sheetViews>
    <sheetView workbookViewId="0">
      <selection activeCell="D25" sqref="D25"/>
    </sheetView>
  </sheetViews>
  <sheetFormatPr defaultRowHeight="14.4" x14ac:dyDescent="0.3"/>
  <cols>
    <col min="1" max="1" width="11.88671875" bestFit="1" customWidth="1"/>
    <col min="2" max="2" width="27.88671875" bestFit="1" customWidth="1"/>
    <col min="3" max="3" width="10.6640625" bestFit="1" customWidth="1"/>
    <col min="4" max="4" width="15.6640625" bestFit="1" customWidth="1"/>
    <col min="5" max="5" width="8.5546875" bestFit="1" customWidth="1"/>
    <col min="6" max="6" width="18.44140625" bestFit="1" customWidth="1"/>
  </cols>
  <sheetData>
    <row r="1" spans="1:6" x14ac:dyDescent="0.3">
      <c r="A1" t="s">
        <v>7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3">
      <c r="A2" t="s">
        <v>17</v>
      </c>
      <c r="B2" t="s">
        <v>47</v>
      </c>
      <c r="C2" t="s">
        <v>48</v>
      </c>
      <c r="D2" t="s">
        <v>49</v>
      </c>
      <c r="E2">
        <v>4.2</v>
      </c>
      <c r="F2" s="5">
        <v>45031</v>
      </c>
    </row>
    <row r="3" spans="1:6" x14ac:dyDescent="0.3">
      <c r="A3" t="s">
        <v>21</v>
      </c>
      <c r="B3" t="s">
        <v>50</v>
      </c>
      <c r="C3" t="s">
        <v>51</v>
      </c>
      <c r="D3" t="s">
        <v>52</v>
      </c>
      <c r="E3">
        <v>3.8</v>
      </c>
      <c r="F3" s="5">
        <v>44793</v>
      </c>
    </row>
    <row r="4" spans="1:6" x14ac:dyDescent="0.3">
      <c r="A4" t="s">
        <v>12</v>
      </c>
      <c r="B4" t="s">
        <v>53</v>
      </c>
      <c r="C4" t="s">
        <v>54</v>
      </c>
      <c r="D4" t="s">
        <v>55</v>
      </c>
      <c r="E4">
        <v>4.7</v>
      </c>
      <c r="F4" s="5">
        <v>45301</v>
      </c>
    </row>
    <row r="5" spans="1:6" x14ac:dyDescent="0.3">
      <c r="A5" t="s">
        <v>24</v>
      </c>
      <c r="B5" t="s">
        <v>56</v>
      </c>
      <c r="C5" t="s">
        <v>57</v>
      </c>
      <c r="D5" t="s">
        <v>58</v>
      </c>
      <c r="E5">
        <v>4</v>
      </c>
      <c r="F5" s="5">
        <v>45235</v>
      </c>
    </row>
    <row r="6" spans="1:6" x14ac:dyDescent="0.3">
      <c r="A6" t="s">
        <v>28</v>
      </c>
      <c r="B6" t="s">
        <v>59</v>
      </c>
      <c r="C6" t="s">
        <v>60</v>
      </c>
      <c r="D6" t="s">
        <v>61</v>
      </c>
      <c r="E6">
        <v>4.5</v>
      </c>
      <c r="F6" s="5">
        <v>44730</v>
      </c>
    </row>
    <row r="7" spans="1:6" x14ac:dyDescent="0.3">
      <c r="A7" t="s">
        <v>36</v>
      </c>
      <c r="B7" t="s">
        <v>62</v>
      </c>
      <c r="C7" t="s">
        <v>63</v>
      </c>
      <c r="D7" t="s">
        <v>64</v>
      </c>
      <c r="E7">
        <v>3.6</v>
      </c>
      <c r="F7" s="5">
        <v>45373</v>
      </c>
    </row>
    <row r="8" spans="1:6" x14ac:dyDescent="0.3">
      <c r="A8" t="s">
        <v>41</v>
      </c>
      <c r="B8" t="s">
        <v>65</v>
      </c>
      <c r="C8" t="s">
        <v>66</v>
      </c>
      <c r="D8" t="s">
        <v>67</v>
      </c>
      <c r="E8">
        <v>4.3</v>
      </c>
      <c r="F8" s="5">
        <v>45181</v>
      </c>
    </row>
    <row r="9" spans="1:6" x14ac:dyDescent="0.3">
      <c r="A9" t="s">
        <v>68</v>
      </c>
      <c r="B9" t="s">
        <v>69</v>
      </c>
      <c r="C9" t="s">
        <v>70</v>
      </c>
      <c r="D9" t="s">
        <v>71</v>
      </c>
      <c r="E9">
        <v>3.9</v>
      </c>
      <c r="F9" s="5">
        <v>44896</v>
      </c>
    </row>
    <row r="10" spans="1:6" x14ac:dyDescent="0.3">
      <c r="A10" t="s">
        <v>72</v>
      </c>
      <c r="B10" t="s">
        <v>73</v>
      </c>
      <c r="C10" t="s">
        <v>74</v>
      </c>
      <c r="D10" t="s">
        <v>75</v>
      </c>
      <c r="E10">
        <v>4.0999999999999996</v>
      </c>
      <c r="F10" s="5">
        <v>45132</v>
      </c>
    </row>
    <row r="11" spans="1:6" x14ac:dyDescent="0.3">
      <c r="A11" t="s">
        <v>76</v>
      </c>
      <c r="B11" t="s">
        <v>77</v>
      </c>
      <c r="C11" t="s">
        <v>78</v>
      </c>
      <c r="D11" t="s">
        <v>79</v>
      </c>
      <c r="E11">
        <v>3.5</v>
      </c>
      <c r="F11" s="5">
        <v>45336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0DA4-27CE-4967-B423-3300DDBBE98D}">
  <dimension ref="A1:I51"/>
  <sheetViews>
    <sheetView zoomScale="117" workbookViewId="0">
      <selection activeCell="D2" sqref="D2"/>
    </sheetView>
  </sheetViews>
  <sheetFormatPr defaultRowHeight="14.4" x14ac:dyDescent="0.3"/>
  <cols>
    <col min="1" max="1" width="8.44140625" bestFit="1" customWidth="1"/>
    <col min="2" max="2" width="12.6640625" customWidth="1"/>
    <col min="3" max="3" width="11.88671875" bestFit="1" customWidth="1"/>
    <col min="4" max="4" width="11.6640625" bestFit="1" customWidth="1"/>
    <col min="5" max="5" width="17.5546875" bestFit="1" customWidth="1"/>
    <col min="6" max="6" width="10.88671875" bestFit="1" customWidth="1"/>
    <col min="7" max="7" width="21.77734375" bestFit="1" customWidth="1"/>
    <col min="8" max="8" width="19.44140625" bestFit="1" customWidth="1"/>
    <col min="9" max="9" width="10.88671875" bestFit="1" customWidth="1"/>
  </cols>
  <sheetData>
    <row r="1" spans="1:9" x14ac:dyDescent="0.3">
      <c r="A1" t="s">
        <v>80</v>
      </c>
      <c r="B1" t="s">
        <v>81</v>
      </c>
      <c r="C1" t="s">
        <v>7</v>
      </c>
      <c r="D1" t="s">
        <v>0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3">
      <c r="A2" t="s">
        <v>87</v>
      </c>
      <c r="B2" s="5">
        <v>45662</v>
      </c>
      <c r="C2" t="s">
        <v>12</v>
      </c>
      <c r="D2" t="s">
        <v>9</v>
      </c>
      <c r="E2">
        <v>50</v>
      </c>
      <c r="F2">
        <v>4450</v>
      </c>
      <c r="G2" s="5">
        <v>45676</v>
      </c>
      <c r="H2" s="5">
        <v>45675</v>
      </c>
      <c r="I2" t="s">
        <v>88</v>
      </c>
    </row>
    <row r="3" spans="1:9" x14ac:dyDescent="0.3">
      <c r="A3" t="s">
        <v>89</v>
      </c>
      <c r="B3" s="5">
        <v>45665</v>
      </c>
      <c r="C3" t="s">
        <v>17</v>
      </c>
      <c r="D3" t="s">
        <v>14</v>
      </c>
      <c r="E3">
        <v>100</v>
      </c>
      <c r="F3">
        <v>1180</v>
      </c>
      <c r="G3" s="5">
        <v>45672</v>
      </c>
      <c r="H3" s="5">
        <v>45672</v>
      </c>
      <c r="I3" t="s">
        <v>88</v>
      </c>
    </row>
    <row r="4" spans="1:9" x14ac:dyDescent="0.3">
      <c r="A4" t="s">
        <v>90</v>
      </c>
      <c r="B4" s="5">
        <v>45669</v>
      </c>
      <c r="C4" t="s">
        <v>21</v>
      </c>
      <c r="D4" t="s">
        <v>18</v>
      </c>
      <c r="E4">
        <v>80</v>
      </c>
      <c r="F4">
        <v>2480</v>
      </c>
      <c r="G4" s="5">
        <v>45681</v>
      </c>
      <c r="H4" s="5">
        <v>45685</v>
      </c>
      <c r="I4" t="s">
        <v>88</v>
      </c>
    </row>
    <row r="5" spans="1:9" x14ac:dyDescent="0.3">
      <c r="A5" t="s">
        <v>91</v>
      </c>
      <c r="B5" s="5">
        <v>45672</v>
      </c>
      <c r="C5" t="s">
        <v>24</v>
      </c>
      <c r="D5" t="s">
        <v>22</v>
      </c>
      <c r="E5">
        <v>120</v>
      </c>
      <c r="F5">
        <v>1750</v>
      </c>
      <c r="G5" s="5">
        <v>45682</v>
      </c>
      <c r="H5" s="5">
        <v>45681</v>
      </c>
      <c r="I5" t="s">
        <v>88</v>
      </c>
    </row>
    <row r="6" spans="1:9" x14ac:dyDescent="0.3">
      <c r="A6" t="s">
        <v>92</v>
      </c>
      <c r="B6" s="5">
        <v>45677</v>
      </c>
      <c r="C6" t="s">
        <v>28</v>
      </c>
      <c r="D6" t="s">
        <v>25</v>
      </c>
      <c r="E6">
        <v>30</v>
      </c>
      <c r="F6">
        <v>8300</v>
      </c>
      <c r="G6" s="5">
        <v>45695</v>
      </c>
      <c r="H6" s="5">
        <v>45698</v>
      </c>
      <c r="I6" t="s">
        <v>88</v>
      </c>
    </row>
    <row r="7" spans="1:9" x14ac:dyDescent="0.3">
      <c r="A7" t="s">
        <v>93</v>
      </c>
      <c r="B7" s="5">
        <v>45681</v>
      </c>
      <c r="C7" t="s">
        <v>17</v>
      </c>
      <c r="D7" t="s">
        <v>29</v>
      </c>
      <c r="E7">
        <v>200</v>
      </c>
      <c r="F7">
        <v>430</v>
      </c>
      <c r="G7" s="5">
        <v>45687</v>
      </c>
      <c r="H7" s="5">
        <v>45686</v>
      </c>
      <c r="I7" t="s">
        <v>88</v>
      </c>
    </row>
    <row r="8" spans="1:9" x14ac:dyDescent="0.3">
      <c r="A8" t="s">
        <v>94</v>
      </c>
      <c r="B8" s="5">
        <v>45685</v>
      </c>
      <c r="C8" t="s">
        <v>12</v>
      </c>
      <c r="D8" t="s">
        <v>31</v>
      </c>
      <c r="E8">
        <v>20</v>
      </c>
      <c r="F8">
        <v>11800</v>
      </c>
      <c r="G8" s="5">
        <v>45706</v>
      </c>
      <c r="H8" s="5">
        <v>45709</v>
      </c>
      <c r="I8" t="s">
        <v>88</v>
      </c>
    </row>
    <row r="9" spans="1:9" x14ac:dyDescent="0.3">
      <c r="A9" t="s">
        <v>95</v>
      </c>
      <c r="B9" s="5">
        <v>45691</v>
      </c>
      <c r="C9" t="s">
        <v>36</v>
      </c>
      <c r="D9" t="s">
        <v>33</v>
      </c>
      <c r="E9">
        <v>150</v>
      </c>
      <c r="F9">
        <v>620</v>
      </c>
      <c r="G9" s="5">
        <v>45699</v>
      </c>
      <c r="H9" s="5">
        <v>45699</v>
      </c>
      <c r="I9" t="s">
        <v>88</v>
      </c>
    </row>
    <row r="10" spans="1:9" x14ac:dyDescent="0.3">
      <c r="A10" t="s">
        <v>96</v>
      </c>
      <c r="B10" s="5">
        <v>45695</v>
      </c>
      <c r="C10" t="s">
        <v>28</v>
      </c>
      <c r="D10" t="s">
        <v>37</v>
      </c>
      <c r="E10">
        <v>60</v>
      </c>
      <c r="F10">
        <v>3150</v>
      </c>
      <c r="G10" s="5">
        <v>45710</v>
      </c>
      <c r="H10" s="5">
        <v>45710</v>
      </c>
      <c r="I10" t="s">
        <v>88</v>
      </c>
    </row>
    <row r="11" spans="1:9" x14ac:dyDescent="0.3">
      <c r="A11" t="s">
        <v>97</v>
      </c>
      <c r="B11" s="5">
        <v>45698</v>
      </c>
      <c r="C11" t="s">
        <v>41</v>
      </c>
      <c r="D11" t="s">
        <v>39</v>
      </c>
      <c r="E11">
        <v>75</v>
      </c>
      <c r="F11">
        <v>2750</v>
      </c>
      <c r="G11" s="5">
        <v>45707</v>
      </c>
      <c r="H11" s="5">
        <v>45706</v>
      </c>
      <c r="I11" t="s">
        <v>88</v>
      </c>
    </row>
    <row r="12" spans="1:9" x14ac:dyDescent="0.3">
      <c r="A12" t="s">
        <v>98</v>
      </c>
      <c r="B12" s="5">
        <v>45702</v>
      </c>
      <c r="C12" t="s">
        <v>12</v>
      </c>
      <c r="D12" t="s">
        <v>9</v>
      </c>
      <c r="E12">
        <v>70</v>
      </c>
      <c r="F12">
        <v>4520</v>
      </c>
      <c r="G12" s="5">
        <v>45716</v>
      </c>
      <c r="H12" s="5">
        <v>45719</v>
      </c>
      <c r="I12" t="s">
        <v>88</v>
      </c>
    </row>
    <row r="13" spans="1:9" x14ac:dyDescent="0.3">
      <c r="A13" t="s">
        <v>99</v>
      </c>
      <c r="B13" s="5">
        <v>45706</v>
      </c>
      <c r="C13" t="s">
        <v>17</v>
      </c>
      <c r="D13" t="s">
        <v>14</v>
      </c>
      <c r="E13">
        <v>80</v>
      </c>
      <c r="F13">
        <v>1210</v>
      </c>
      <c r="G13" s="5">
        <v>45713</v>
      </c>
      <c r="H13" s="5">
        <v>45715</v>
      </c>
      <c r="I13" t="s">
        <v>88</v>
      </c>
    </row>
    <row r="14" spans="1:9" x14ac:dyDescent="0.3">
      <c r="A14" t="s">
        <v>100</v>
      </c>
      <c r="B14" s="5">
        <v>45710</v>
      </c>
      <c r="C14" t="s">
        <v>21</v>
      </c>
      <c r="D14" t="s">
        <v>18</v>
      </c>
      <c r="E14">
        <v>100</v>
      </c>
      <c r="F14">
        <v>2550</v>
      </c>
      <c r="G14" s="5">
        <v>45722</v>
      </c>
      <c r="H14" s="5">
        <v>45721</v>
      </c>
      <c r="I14" t="s">
        <v>88</v>
      </c>
    </row>
    <row r="15" spans="1:9" x14ac:dyDescent="0.3">
      <c r="A15" t="s">
        <v>101</v>
      </c>
      <c r="B15" s="5">
        <v>45714</v>
      </c>
      <c r="C15" t="s">
        <v>24</v>
      </c>
      <c r="D15" t="s">
        <v>22</v>
      </c>
      <c r="E15">
        <v>150</v>
      </c>
      <c r="F15">
        <v>1820</v>
      </c>
      <c r="G15" s="5">
        <v>45724</v>
      </c>
      <c r="H15" s="5">
        <v>45728</v>
      </c>
      <c r="I15" t="s">
        <v>88</v>
      </c>
    </row>
    <row r="16" spans="1:9" x14ac:dyDescent="0.3">
      <c r="A16" t="s">
        <v>102</v>
      </c>
      <c r="B16" s="5">
        <v>45718</v>
      </c>
      <c r="C16" t="s">
        <v>28</v>
      </c>
      <c r="D16" t="s">
        <v>25</v>
      </c>
      <c r="E16">
        <v>25</v>
      </c>
      <c r="F16">
        <v>8600</v>
      </c>
      <c r="G16" s="5">
        <v>45736</v>
      </c>
      <c r="H16" s="5">
        <v>45736</v>
      </c>
      <c r="I16" t="s">
        <v>88</v>
      </c>
    </row>
    <row r="17" spans="1:9" x14ac:dyDescent="0.3">
      <c r="A17" t="s">
        <v>103</v>
      </c>
      <c r="B17" s="5">
        <v>45722</v>
      </c>
      <c r="C17" t="s">
        <v>17</v>
      </c>
      <c r="D17" t="s">
        <v>29</v>
      </c>
      <c r="E17">
        <v>250</v>
      </c>
      <c r="F17">
        <v>440</v>
      </c>
      <c r="G17" s="5">
        <v>45728</v>
      </c>
      <c r="H17" s="5">
        <v>45727</v>
      </c>
      <c r="I17" t="s">
        <v>88</v>
      </c>
    </row>
    <row r="18" spans="1:9" x14ac:dyDescent="0.3">
      <c r="A18" t="s">
        <v>104</v>
      </c>
      <c r="B18" s="5">
        <v>45726</v>
      </c>
      <c r="C18" t="s">
        <v>12</v>
      </c>
      <c r="D18" t="s">
        <v>31</v>
      </c>
      <c r="E18">
        <v>15</v>
      </c>
      <c r="F18">
        <v>12100</v>
      </c>
      <c r="G18" s="5">
        <v>45747</v>
      </c>
      <c r="H18" s="5">
        <v>45750</v>
      </c>
      <c r="I18" t="s">
        <v>88</v>
      </c>
    </row>
    <row r="19" spans="1:9" x14ac:dyDescent="0.3">
      <c r="A19" t="s">
        <v>105</v>
      </c>
      <c r="B19" s="5">
        <v>45730</v>
      </c>
      <c r="C19" t="s">
        <v>36</v>
      </c>
      <c r="D19" t="s">
        <v>33</v>
      </c>
      <c r="E19">
        <v>180</v>
      </c>
      <c r="F19">
        <v>640</v>
      </c>
      <c r="G19" s="5">
        <v>45738</v>
      </c>
      <c r="H19" s="5">
        <v>45741</v>
      </c>
      <c r="I19" t="s">
        <v>88</v>
      </c>
    </row>
    <row r="20" spans="1:9" x14ac:dyDescent="0.3">
      <c r="A20" t="s">
        <v>106</v>
      </c>
      <c r="B20" s="5">
        <v>45734</v>
      </c>
      <c r="C20" t="s">
        <v>28</v>
      </c>
      <c r="D20" t="s">
        <v>37</v>
      </c>
      <c r="E20">
        <v>75</v>
      </c>
      <c r="F20">
        <v>3250</v>
      </c>
      <c r="G20" s="5">
        <v>45749</v>
      </c>
      <c r="H20" s="5">
        <v>45748</v>
      </c>
      <c r="I20" t="s">
        <v>88</v>
      </c>
    </row>
    <row r="21" spans="1:9" x14ac:dyDescent="0.3">
      <c r="A21" t="s">
        <v>107</v>
      </c>
      <c r="B21" s="5">
        <v>45738</v>
      </c>
      <c r="C21" t="s">
        <v>41</v>
      </c>
      <c r="D21" t="s">
        <v>39</v>
      </c>
      <c r="E21">
        <v>90</v>
      </c>
      <c r="F21">
        <v>2850</v>
      </c>
      <c r="G21" s="5">
        <v>45747</v>
      </c>
      <c r="H21" s="5">
        <v>45746</v>
      </c>
      <c r="I21" t="s">
        <v>88</v>
      </c>
    </row>
    <row r="22" spans="1:9" x14ac:dyDescent="0.3">
      <c r="A22" t="s">
        <v>108</v>
      </c>
      <c r="B22" s="5">
        <v>45748</v>
      </c>
      <c r="C22" t="s">
        <v>12</v>
      </c>
      <c r="D22" t="s">
        <v>9</v>
      </c>
      <c r="E22">
        <v>60</v>
      </c>
      <c r="F22">
        <v>4600</v>
      </c>
      <c r="G22" s="5">
        <v>45762</v>
      </c>
      <c r="H22" s="5">
        <v>45762</v>
      </c>
      <c r="I22" t="s">
        <v>88</v>
      </c>
    </row>
    <row r="23" spans="1:9" x14ac:dyDescent="0.3">
      <c r="A23" t="s">
        <v>109</v>
      </c>
      <c r="B23" s="5">
        <v>45752</v>
      </c>
      <c r="C23" t="s">
        <v>17</v>
      </c>
      <c r="D23" t="s">
        <v>14</v>
      </c>
      <c r="E23">
        <v>120</v>
      </c>
      <c r="F23">
        <v>1190</v>
      </c>
      <c r="G23" s="5">
        <v>45759</v>
      </c>
      <c r="H23" s="5">
        <v>45761</v>
      </c>
      <c r="I23" t="s">
        <v>88</v>
      </c>
    </row>
    <row r="24" spans="1:9" x14ac:dyDescent="0.3">
      <c r="A24" t="s">
        <v>110</v>
      </c>
      <c r="B24" s="5">
        <v>45756</v>
      </c>
      <c r="C24" t="s">
        <v>21</v>
      </c>
      <c r="D24" t="s">
        <v>18</v>
      </c>
      <c r="E24">
        <v>90</v>
      </c>
      <c r="F24">
        <v>2600</v>
      </c>
      <c r="G24" s="5">
        <v>45768</v>
      </c>
      <c r="H24" s="5">
        <v>45771</v>
      </c>
      <c r="I24" t="s">
        <v>88</v>
      </c>
    </row>
    <row r="25" spans="1:9" x14ac:dyDescent="0.3">
      <c r="A25" t="s">
        <v>111</v>
      </c>
      <c r="B25" s="5">
        <v>45760</v>
      </c>
      <c r="C25" t="s">
        <v>24</v>
      </c>
      <c r="D25" t="s">
        <v>22</v>
      </c>
      <c r="E25">
        <v>130</v>
      </c>
      <c r="F25">
        <v>1790</v>
      </c>
      <c r="G25" s="5">
        <v>45770</v>
      </c>
      <c r="H25" s="5">
        <v>45769</v>
      </c>
      <c r="I25" t="s">
        <v>88</v>
      </c>
    </row>
    <row r="26" spans="1:9" x14ac:dyDescent="0.3">
      <c r="A26" t="s">
        <v>112</v>
      </c>
      <c r="B26" s="5">
        <v>45764</v>
      </c>
      <c r="C26" t="s">
        <v>28</v>
      </c>
      <c r="D26" t="s">
        <v>25</v>
      </c>
      <c r="E26">
        <v>35</v>
      </c>
      <c r="F26">
        <v>8450</v>
      </c>
      <c r="G26" s="5">
        <v>45782</v>
      </c>
      <c r="H26" s="5">
        <v>45785</v>
      </c>
      <c r="I26" t="s">
        <v>88</v>
      </c>
    </row>
    <row r="27" spans="1:9" x14ac:dyDescent="0.3">
      <c r="A27" t="s">
        <v>113</v>
      </c>
      <c r="B27" s="5">
        <v>45768</v>
      </c>
      <c r="C27" t="s">
        <v>17</v>
      </c>
      <c r="D27" t="s">
        <v>29</v>
      </c>
      <c r="E27">
        <v>220</v>
      </c>
      <c r="F27">
        <v>460</v>
      </c>
      <c r="G27" s="5">
        <v>45774</v>
      </c>
      <c r="H27" s="5">
        <v>45774</v>
      </c>
      <c r="I27" t="s">
        <v>88</v>
      </c>
    </row>
    <row r="28" spans="1:9" x14ac:dyDescent="0.3">
      <c r="A28" t="s">
        <v>114</v>
      </c>
      <c r="B28" s="5">
        <v>45772</v>
      </c>
      <c r="C28" t="s">
        <v>12</v>
      </c>
      <c r="D28" t="s">
        <v>31</v>
      </c>
      <c r="E28">
        <v>18</v>
      </c>
      <c r="F28">
        <v>11950</v>
      </c>
      <c r="G28" s="5">
        <v>45793</v>
      </c>
      <c r="H28" s="5">
        <v>45797</v>
      </c>
      <c r="I28" t="s">
        <v>88</v>
      </c>
    </row>
    <row r="29" spans="1:9" x14ac:dyDescent="0.3">
      <c r="A29" t="s">
        <v>115</v>
      </c>
      <c r="B29" s="5">
        <v>45776</v>
      </c>
      <c r="C29" t="s">
        <v>36</v>
      </c>
      <c r="D29" t="s">
        <v>33</v>
      </c>
      <c r="E29">
        <v>200</v>
      </c>
      <c r="F29">
        <v>630</v>
      </c>
      <c r="G29" s="5">
        <v>45784</v>
      </c>
      <c r="H29" s="5">
        <v>45784</v>
      </c>
      <c r="I29" t="s">
        <v>88</v>
      </c>
    </row>
    <row r="30" spans="1:9" x14ac:dyDescent="0.3">
      <c r="A30" t="s">
        <v>116</v>
      </c>
      <c r="B30" s="5">
        <v>45780</v>
      </c>
      <c r="C30" t="s">
        <v>28</v>
      </c>
      <c r="D30" t="s">
        <v>37</v>
      </c>
      <c r="E30">
        <v>65</v>
      </c>
      <c r="F30">
        <v>3180</v>
      </c>
      <c r="G30" s="5">
        <v>45795</v>
      </c>
      <c r="H30" s="5">
        <v>45795</v>
      </c>
      <c r="I30" t="s">
        <v>88</v>
      </c>
    </row>
    <row r="31" spans="1:9" x14ac:dyDescent="0.3">
      <c r="A31" t="s">
        <v>117</v>
      </c>
      <c r="B31" s="5">
        <v>45784</v>
      </c>
      <c r="C31" t="s">
        <v>41</v>
      </c>
      <c r="D31" t="s">
        <v>39</v>
      </c>
      <c r="E31">
        <v>100</v>
      </c>
      <c r="F31">
        <v>2900</v>
      </c>
      <c r="G31" s="5">
        <v>45793</v>
      </c>
      <c r="H31" s="5">
        <v>45796</v>
      </c>
      <c r="I31" t="s">
        <v>88</v>
      </c>
    </row>
    <row r="32" spans="1:9" x14ac:dyDescent="0.3">
      <c r="A32" t="s">
        <v>118</v>
      </c>
      <c r="B32" s="5">
        <v>45789</v>
      </c>
      <c r="C32" t="s">
        <v>12</v>
      </c>
      <c r="D32" t="s">
        <v>9</v>
      </c>
      <c r="E32">
        <v>80</v>
      </c>
      <c r="F32">
        <v>4480</v>
      </c>
      <c r="G32" s="5">
        <v>45803</v>
      </c>
      <c r="H32" s="5">
        <v>45802</v>
      </c>
      <c r="I32" t="s">
        <v>88</v>
      </c>
    </row>
    <row r="33" spans="1:9" x14ac:dyDescent="0.3">
      <c r="A33" t="s">
        <v>119</v>
      </c>
      <c r="B33" s="5">
        <v>45793</v>
      </c>
      <c r="C33" t="s">
        <v>17</v>
      </c>
      <c r="D33" t="s">
        <v>14</v>
      </c>
      <c r="E33">
        <v>90</v>
      </c>
      <c r="F33">
        <v>1220</v>
      </c>
      <c r="G33" s="5">
        <v>45800</v>
      </c>
      <c r="H33" s="5">
        <v>45801</v>
      </c>
      <c r="I33" t="s">
        <v>88</v>
      </c>
    </row>
    <row r="34" spans="1:9" x14ac:dyDescent="0.3">
      <c r="A34" t="s">
        <v>120</v>
      </c>
      <c r="B34" s="5">
        <v>45797</v>
      </c>
      <c r="C34" t="s">
        <v>21</v>
      </c>
      <c r="D34" t="s">
        <v>18</v>
      </c>
      <c r="E34">
        <v>110</v>
      </c>
      <c r="F34">
        <v>2520</v>
      </c>
      <c r="G34" s="5">
        <v>45809</v>
      </c>
      <c r="H34" s="5">
        <v>45814</v>
      </c>
      <c r="I34" t="s">
        <v>88</v>
      </c>
    </row>
    <row r="35" spans="1:9" x14ac:dyDescent="0.3">
      <c r="A35" t="s">
        <v>121</v>
      </c>
      <c r="B35" s="5">
        <v>45801</v>
      </c>
      <c r="C35" t="s">
        <v>24</v>
      </c>
      <c r="D35" t="s">
        <v>22</v>
      </c>
      <c r="E35">
        <v>160</v>
      </c>
      <c r="F35">
        <v>1850</v>
      </c>
      <c r="G35" s="5">
        <v>45811</v>
      </c>
      <c r="H35" s="5">
        <v>45811</v>
      </c>
      <c r="I35" t="s">
        <v>88</v>
      </c>
    </row>
    <row r="36" spans="1:9" x14ac:dyDescent="0.3">
      <c r="A36" t="s">
        <v>122</v>
      </c>
      <c r="B36" s="5">
        <v>45805</v>
      </c>
      <c r="C36" t="s">
        <v>28</v>
      </c>
      <c r="D36" t="s">
        <v>25</v>
      </c>
      <c r="E36">
        <v>28</v>
      </c>
      <c r="F36">
        <v>8750</v>
      </c>
      <c r="G36" s="5">
        <v>45823</v>
      </c>
      <c r="H36" s="5">
        <v>45822</v>
      </c>
      <c r="I36" t="s">
        <v>88</v>
      </c>
    </row>
    <row r="37" spans="1:9" x14ac:dyDescent="0.3">
      <c r="A37" t="s">
        <v>123</v>
      </c>
      <c r="B37" s="5">
        <v>45809</v>
      </c>
      <c r="C37" t="s">
        <v>17</v>
      </c>
      <c r="D37" t="s">
        <v>29</v>
      </c>
      <c r="E37">
        <v>300</v>
      </c>
      <c r="F37">
        <v>445</v>
      </c>
      <c r="G37" s="5">
        <v>45815</v>
      </c>
      <c r="H37" s="5">
        <v>45816</v>
      </c>
      <c r="I37" t="s">
        <v>88</v>
      </c>
    </row>
    <row r="38" spans="1:9" x14ac:dyDescent="0.3">
      <c r="A38" t="s">
        <v>124</v>
      </c>
      <c r="B38" s="5">
        <v>45813</v>
      </c>
      <c r="C38" t="s">
        <v>12</v>
      </c>
      <c r="D38" t="s">
        <v>31</v>
      </c>
      <c r="E38">
        <v>22</v>
      </c>
      <c r="F38">
        <v>12300</v>
      </c>
      <c r="G38" s="5">
        <v>45834</v>
      </c>
      <c r="H38" s="5">
        <v>45838</v>
      </c>
      <c r="I38" t="s">
        <v>88</v>
      </c>
    </row>
    <row r="39" spans="1:9" x14ac:dyDescent="0.3">
      <c r="A39" t="s">
        <v>125</v>
      </c>
      <c r="B39" s="5">
        <v>45817</v>
      </c>
      <c r="C39" t="s">
        <v>36</v>
      </c>
      <c r="D39" t="s">
        <v>33</v>
      </c>
      <c r="E39">
        <v>170</v>
      </c>
      <c r="F39">
        <v>655</v>
      </c>
      <c r="G39" s="5">
        <v>45825</v>
      </c>
      <c r="H39" s="5">
        <v>45825</v>
      </c>
      <c r="I39" t="s">
        <v>88</v>
      </c>
    </row>
    <row r="40" spans="1:9" x14ac:dyDescent="0.3">
      <c r="A40" t="s">
        <v>126</v>
      </c>
      <c r="B40" s="5">
        <v>45821</v>
      </c>
      <c r="C40" t="s">
        <v>28</v>
      </c>
      <c r="D40" t="s">
        <v>37</v>
      </c>
      <c r="E40">
        <v>80</v>
      </c>
      <c r="F40">
        <v>3300</v>
      </c>
      <c r="G40" s="5">
        <v>45836</v>
      </c>
      <c r="H40" s="5">
        <v>45835</v>
      </c>
      <c r="I40" t="s">
        <v>88</v>
      </c>
    </row>
    <row r="41" spans="1:9" x14ac:dyDescent="0.3">
      <c r="A41" t="s">
        <v>127</v>
      </c>
      <c r="B41" s="5">
        <v>45825</v>
      </c>
      <c r="C41" t="s">
        <v>41</v>
      </c>
      <c r="D41" t="s">
        <v>39</v>
      </c>
      <c r="E41">
        <v>85</v>
      </c>
      <c r="F41">
        <v>2780</v>
      </c>
      <c r="G41" s="5">
        <v>45834</v>
      </c>
      <c r="H41" s="5">
        <v>45837</v>
      </c>
      <c r="I41" t="s">
        <v>88</v>
      </c>
    </row>
    <row r="42" spans="1:9" x14ac:dyDescent="0.3">
      <c r="A42" t="s">
        <v>128</v>
      </c>
      <c r="B42" s="5">
        <v>45830</v>
      </c>
      <c r="C42" t="s">
        <v>12</v>
      </c>
      <c r="D42" t="s">
        <v>9</v>
      </c>
      <c r="E42">
        <v>55</v>
      </c>
      <c r="F42">
        <v>4650</v>
      </c>
      <c r="G42" s="5">
        <v>45844</v>
      </c>
      <c r="H42" s="5">
        <v>45846</v>
      </c>
      <c r="I42" t="s">
        <v>88</v>
      </c>
    </row>
    <row r="43" spans="1:9" x14ac:dyDescent="0.3">
      <c r="A43" t="s">
        <v>129</v>
      </c>
      <c r="B43" s="5">
        <v>45834</v>
      </c>
      <c r="C43" t="s">
        <v>17</v>
      </c>
      <c r="D43" t="s">
        <v>14</v>
      </c>
      <c r="E43">
        <v>110</v>
      </c>
      <c r="F43">
        <v>1200</v>
      </c>
      <c r="G43" s="5">
        <v>45841</v>
      </c>
      <c r="H43" s="5">
        <v>45841</v>
      </c>
      <c r="I43" t="s">
        <v>88</v>
      </c>
    </row>
    <row r="44" spans="1:9" x14ac:dyDescent="0.3">
      <c r="A44" t="s">
        <v>130</v>
      </c>
      <c r="B44" s="5">
        <v>45838</v>
      </c>
      <c r="C44" t="s">
        <v>21</v>
      </c>
      <c r="D44" t="s">
        <v>18</v>
      </c>
      <c r="E44">
        <v>95</v>
      </c>
      <c r="F44">
        <v>2580</v>
      </c>
      <c r="G44" s="5">
        <v>45850</v>
      </c>
      <c r="H44" s="5">
        <v>45855</v>
      </c>
      <c r="I44" t="s">
        <v>88</v>
      </c>
    </row>
    <row r="45" spans="1:9" x14ac:dyDescent="0.3">
      <c r="A45" t="s">
        <v>131</v>
      </c>
      <c r="B45" s="5">
        <v>45842</v>
      </c>
      <c r="C45" t="s">
        <v>24</v>
      </c>
      <c r="D45" t="s">
        <v>22</v>
      </c>
      <c r="E45">
        <v>140</v>
      </c>
      <c r="F45">
        <v>1810</v>
      </c>
      <c r="G45" s="5">
        <v>45852</v>
      </c>
      <c r="H45" s="5">
        <v>45851</v>
      </c>
      <c r="I45" t="s">
        <v>88</v>
      </c>
    </row>
    <row r="46" spans="1:9" x14ac:dyDescent="0.3">
      <c r="A46" t="s">
        <v>132</v>
      </c>
      <c r="B46" s="5">
        <v>45846</v>
      </c>
      <c r="C46" t="s">
        <v>28</v>
      </c>
      <c r="D46" t="s">
        <v>25</v>
      </c>
      <c r="E46">
        <v>32</v>
      </c>
      <c r="F46">
        <v>8550</v>
      </c>
      <c r="G46" s="5">
        <v>45864</v>
      </c>
      <c r="H46" s="5">
        <v>45868</v>
      </c>
      <c r="I46" t="s">
        <v>88</v>
      </c>
    </row>
    <row r="47" spans="1:9" x14ac:dyDescent="0.3">
      <c r="A47" t="s">
        <v>133</v>
      </c>
      <c r="B47" s="5">
        <v>45850</v>
      </c>
      <c r="C47" t="s">
        <v>17</v>
      </c>
      <c r="D47" t="s">
        <v>29</v>
      </c>
      <c r="E47">
        <v>240</v>
      </c>
      <c r="F47">
        <v>455</v>
      </c>
      <c r="G47" s="5">
        <v>45856</v>
      </c>
      <c r="H47" s="5">
        <v>45856</v>
      </c>
      <c r="I47" t="s">
        <v>88</v>
      </c>
    </row>
    <row r="48" spans="1:9" x14ac:dyDescent="0.3">
      <c r="A48" t="s">
        <v>134</v>
      </c>
      <c r="B48" s="5">
        <v>45854</v>
      </c>
      <c r="C48" t="s">
        <v>12</v>
      </c>
      <c r="D48" t="s">
        <v>31</v>
      </c>
      <c r="E48">
        <v>16</v>
      </c>
      <c r="F48">
        <v>12250</v>
      </c>
      <c r="G48" s="5">
        <v>45875</v>
      </c>
      <c r="H48" s="5">
        <v>45878</v>
      </c>
      <c r="I48" t="s">
        <v>88</v>
      </c>
    </row>
    <row r="49" spans="1:9" x14ac:dyDescent="0.3">
      <c r="A49" t="s">
        <v>135</v>
      </c>
      <c r="B49" s="5">
        <v>45858</v>
      </c>
      <c r="C49" t="s">
        <v>36</v>
      </c>
      <c r="D49" t="s">
        <v>33</v>
      </c>
      <c r="E49">
        <v>190</v>
      </c>
      <c r="F49">
        <v>645</v>
      </c>
      <c r="G49" s="5">
        <v>45866</v>
      </c>
      <c r="H49" s="5">
        <v>45867</v>
      </c>
      <c r="I49" t="s">
        <v>88</v>
      </c>
    </row>
    <row r="50" spans="1:9" x14ac:dyDescent="0.3">
      <c r="A50" t="s">
        <v>136</v>
      </c>
      <c r="B50" s="5">
        <v>45862</v>
      </c>
      <c r="C50" t="s">
        <v>28</v>
      </c>
      <c r="D50" t="s">
        <v>37</v>
      </c>
      <c r="E50">
        <v>70</v>
      </c>
      <c r="F50">
        <v>3220</v>
      </c>
      <c r="G50" s="5">
        <v>45877</v>
      </c>
      <c r="H50" s="5">
        <v>45876</v>
      </c>
      <c r="I50" t="s">
        <v>88</v>
      </c>
    </row>
    <row r="51" spans="1:9" x14ac:dyDescent="0.3">
      <c r="A51" t="s">
        <v>137</v>
      </c>
      <c r="B51" s="5">
        <v>45866</v>
      </c>
      <c r="C51" t="s">
        <v>41</v>
      </c>
      <c r="D51" t="s">
        <v>39</v>
      </c>
      <c r="E51">
        <v>95</v>
      </c>
      <c r="F51">
        <v>2820</v>
      </c>
      <c r="G51" s="5">
        <v>45875</v>
      </c>
      <c r="H51" s="5">
        <v>45879</v>
      </c>
      <c r="I51" t="s">
        <v>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4612-001B-4110-A600-62638A71ABE4}">
  <dimension ref="A1:F101"/>
  <sheetViews>
    <sheetView topLeftCell="BO1" zoomScale="111" workbookViewId="0">
      <selection activeCell="I23" sqref="I23"/>
    </sheetView>
  </sheetViews>
  <sheetFormatPr defaultRowHeight="14.4" x14ac:dyDescent="0.3"/>
  <cols>
    <col min="1" max="1" width="14.77734375" bestFit="1" customWidth="1"/>
    <col min="2" max="2" width="17" bestFit="1" customWidth="1"/>
    <col min="3" max="3" width="11.6640625" bestFit="1" customWidth="1"/>
    <col min="4" max="4" width="17.21875" bestFit="1" customWidth="1"/>
    <col min="5" max="5" width="10.5546875" bestFit="1" customWidth="1"/>
    <col min="6" max="6" width="13.44140625" bestFit="1" customWidth="1"/>
  </cols>
  <sheetData>
    <row r="1" spans="1:6" x14ac:dyDescent="0.3">
      <c r="A1" t="s">
        <v>138</v>
      </c>
      <c r="B1" t="s">
        <v>139</v>
      </c>
      <c r="C1" t="s">
        <v>0</v>
      </c>
      <c r="D1" t="s">
        <v>140</v>
      </c>
      <c r="E1" t="s">
        <v>141</v>
      </c>
      <c r="F1" t="s">
        <v>142</v>
      </c>
    </row>
    <row r="2" spans="1:6" x14ac:dyDescent="0.3">
      <c r="A2" t="s">
        <v>143</v>
      </c>
      <c r="B2" s="5">
        <v>45675</v>
      </c>
      <c r="C2" t="s">
        <v>9</v>
      </c>
      <c r="D2" t="s">
        <v>144</v>
      </c>
      <c r="E2">
        <v>50</v>
      </c>
      <c r="F2" t="s">
        <v>87</v>
      </c>
    </row>
    <row r="3" spans="1:6" x14ac:dyDescent="0.3">
      <c r="A3" t="s">
        <v>145</v>
      </c>
      <c r="B3" s="5">
        <v>45677</v>
      </c>
      <c r="C3" t="s">
        <v>9</v>
      </c>
      <c r="D3" t="s">
        <v>146</v>
      </c>
      <c r="E3">
        <v>20</v>
      </c>
      <c r="F3" t="s">
        <v>147</v>
      </c>
    </row>
    <row r="4" spans="1:6" x14ac:dyDescent="0.3">
      <c r="A4" t="s">
        <v>148</v>
      </c>
      <c r="B4" s="5">
        <v>45672</v>
      </c>
      <c r="C4" t="s">
        <v>14</v>
      </c>
      <c r="D4" t="s">
        <v>144</v>
      </c>
      <c r="E4">
        <v>100</v>
      </c>
      <c r="F4" t="s">
        <v>89</v>
      </c>
    </row>
    <row r="5" spans="1:6" x14ac:dyDescent="0.3">
      <c r="A5" t="s">
        <v>149</v>
      </c>
      <c r="B5" s="5">
        <v>45675</v>
      </c>
      <c r="C5" t="s">
        <v>14</v>
      </c>
      <c r="D5" t="s">
        <v>146</v>
      </c>
      <c r="E5">
        <v>35</v>
      </c>
      <c r="F5" t="s">
        <v>150</v>
      </c>
    </row>
    <row r="6" spans="1:6" x14ac:dyDescent="0.3">
      <c r="A6" t="s">
        <v>151</v>
      </c>
      <c r="B6" s="5">
        <v>45685</v>
      </c>
      <c r="C6" t="s">
        <v>18</v>
      </c>
      <c r="D6" t="s">
        <v>144</v>
      </c>
      <c r="E6">
        <v>80</v>
      </c>
      <c r="F6" t="s">
        <v>90</v>
      </c>
    </row>
    <row r="7" spans="1:6" x14ac:dyDescent="0.3">
      <c r="A7" t="s">
        <v>152</v>
      </c>
      <c r="B7" s="5">
        <v>45687</v>
      </c>
      <c r="C7" t="s">
        <v>18</v>
      </c>
      <c r="D7" t="s">
        <v>146</v>
      </c>
      <c r="E7">
        <v>30</v>
      </c>
      <c r="F7" t="s">
        <v>153</v>
      </c>
    </row>
    <row r="8" spans="1:6" x14ac:dyDescent="0.3">
      <c r="A8" t="s">
        <v>154</v>
      </c>
      <c r="B8" s="5">
        <v>45681</v>
      </c>
      <c r="C8" t="s">
        <v>22</v>
      </c>
      <c r="D8" t="s">
        <v>144</v>
      </c>
      <c r="E8">
        <v>120</v>
      </c>
      <c r="F8" t="s">
        <v>91</v>
      </c>
    </row>
    <row r="9" spans="1:6" x14ac:dyDescent="0.3">
      <c r="A9" t="s">
        <v>155</v>
      </c>
      <c r="B9" s="5">
        <v>45684</v>
      </c>
      <c r="C9" t="s">
        <v>22</v>
      </c>
      <c r="D9" t="s">
        <v>146</v>
      </c>
      <c r="E9">
        <v>45</v>
      </c>
      <c r="F9" t="s">
        <v>156</v>
      </c>
    </row>
    <row r="10" spans="1:6" x14ac:dyDescent="0.3">
      <c r="A10" t="s">
        <v>157</v>
      </c>
      <c r="B10" s="5">
        <v>45698</v>
      </c>
      <c r="C10" t="s">
        <v>25</v>
      </c>
      <c r="D10" t="s">
        <v>144</v>
      </c>
      <c r="E10">
        <v>30</v>
      </c>
      <c r="F10" t="s">
        <v>92</v>
      </c>
    </row>
    <row r="11" spans="1:6" x14ac:dyDescent="0.3">
      <c r="A11" t="s">
        <v>158</v>
      </c>
      <c r="B11" s="5">
        <v>45701</v>
      </c>
      <c r="C11" t="s">
        <v>25</v>
      </c>
      <c r="D11" t="s">
        <v>146</v>
      </c>
      <c r="E11">
        <v>10</v>
      </c>
      <c r="F11" t="s">
        <v>159</v>
      </c>
    </row>
    <row r="12" spans="1:6" x14ac:dyDescent="0.3">
      <c r="A12" t="s">
        <v>160</v>
      </c>
      <c r="B12" s="5">
        <v>45686</v>
      </c>
      <c r="C12" t="s">
        <v>29</v>
      </c>
      <c r="D12" t="s">
        <v>144</v>
      </c>
      <c r="E12">
        <v>200</v>
      </c>
      <c r="F12" t="s">
        <v>93</v>
      </c>
    </row>
    <row r="13" spans="1:6" x14ac:dyDescent="0.3">
      <c r="A13" t="s">
        <v>161</v>
      </c>
      <c r="B13" s="5">
        <v>45689</v>
      </c>
      <c r="C13" t="s">
        <v>29</v>
      </c>
      <c r="D13" t="s">
        <v>146</v>
      </c>
      <c r="E13">
        <v>80</v>
      </c>
      <c r="F13" t="s">
        <v>162</v>
      </c>
    </row>
    <row r="14" spans="1:6" x14ac:dyDescent="0.3">
      <c r="A14" t="s">
        <v>163</v>
      </c>
      <c r="B14" s="5">
        <v>45709</v>
      </c>
      <c r="C14" t="s">
        <v>31</v>
      </c>
      <c r="D14" t="s">
        <v>144</v>
      </c>
      <c r="E14">
        <v>20</v>
      </c>
      <c r="F14" t="s">
        <v>94</v>
      </c>
    </row>
    <row r="15" spans="1:6" x14ac:dyDescent="0.3">
      <c r="A15" t="s">
        <v>164</v>
      </c>
      <c r="B15" s="5">
        <v>45712</v>
      </c>
      <c r="C15" t="s">
        <v>31</v>
      </c>
      <c r="D15" t="s">
        <v>146</v>
      </c>
      <c r="E15">
        <v>7</v>
      </c>
      <c r="F15" t="s">
        <v>165</v>
      </c>
    </row>
    <row r="16" spans="1:6" x14ac:dyDescent="0.3">
      <c r="A16" t="s">
        <v>166</v>
      </c>
      <c r="B16" s="5">
        <v>45699</v>
      </c>
      <c r="C16" t="s">
        <v>33</v>
      </c>
      <c r="D16" t="s">
        <v>144</v>
      </c>
      <c r="E16">
        <v>150</v>
      </c>
      <c r="F16" t="s">
        <v>95</v>
      </c>
    </row>
    <row r="17" spans="1:6" x14ac:dyDescent="0.3">
      <c r="A17" t="s">
        <v>167</v>
      </c>
      <c r="B17" s="5">
        <v>45702</v>
      </c>
      <c r="C17" t="s">
        <v>33</v>
      </c>
      <c r="D17" t="s">
        <v>146</v>
      </c>
      <c r="E17">
        <v>60</v>
      </c>
      <c r="F17" t="s">
        <v>168</v>
      </c>
    </row>
    <row r="18" spans="1:6" x14ac:dyDescent="0.3">
      <c r="A18" t="s">
        <v>169</v>
      </c>
      <c r="B18" s="5">
        <v>45710</v>
      </c>
      <c r="C18" t="s">
        <v>37</v>
      </c>
      <c r="D18" t="s">
        <v>144</v>
      </c>
      <c r="E18">
        <v>60</v>
      </c>
      <c r="F18" t="s">
        <v>96</v>
      </c>
    </row>
    <row r="19" spans="1:6" x14ac:dyDescent="0.3">
      <c r="A19" t="s">
        <v>170</v>
      </c>
      <c r="B19" s="5">
        <v>45713</v>
      </c>
      <c r="C19" t="s">
        <v>37</v>
      </c>
      <c r="D19" t="s">
        <v>146</v>
      </c>
      <c r="E19">
        <v>25</v>
      </c>
      <c r="F19" t="s">
        <v>171</v>
      </c>
    </row>
    <row r="20" spans="1:6" x14ac:dyDescent="0.3">
      <c r="A20" t="s">
        <v>172</v>
      </c>
      <c r="B20" s="5">
        <v>45706</v>
      </c>
      <c r="C20" t="s">
        <v>39</v>
      </c>
      <c r="D20" t="s">
        <v>144</v>
      </c>
      <c r="E20">
        <v>75</v>
      </c>
      <c r="F20" t="s">
        <v>97</v>
      </c>
    </row>
    <row r="21" spans="1:6" x14ac:dyDescent="0.3">
      <c r="A21" t="s">
        <v>173</v>
      </c>
      <c r="B21" s="5">
        <v>45709</v>
      </c>
      <c r="C21" t="s">
        <v>39</v>
      </c>
      <c r="D21" t="s">
        <v>146</v>
      </c>
      <c r="E21">
        <v>30</v>
      </c>
      <c r="F21" t="s">
        <v>174</v>
      </c>
    </row>
    <row r="22" spans="1:6" x14ac:dyDescent="0.3">
      <c r="A22" t="s">
        <v>175</v>
      </c>
      <c r="B22" s="5">
        <v>45719</v>
      </c>
      <c r="C22" t="s">
        <v>9</v>
      </c>
      <c r="D22" t="s">
        <v>144</v>
      </c>
      <c r="E22">
        <v>70</v>
      </c>
      <c r="F22" t="s">
        <v>98</v>
      </c>
    </row>
    <row r="23" spans="1:6" x14ac:dyDescent="0.3">
      <c r="A23" t="s">
        <v>176</v>
      </c>
      <c r="B23" s="5">
        <v>45722</v>
      </c>
      <c r="C23" t="s">
        <v>9</v>
      </c>
      <c r="D23" t="s">
        <v>146</v>
      </c>
      <c r="E23">
        <v>25</v>
      </c>
      <c r="F23" t="s">
        <v>177</v>
      </c>
    </row>
    <row r="24" spans="1:6" x14ac:dyDescent="0.3">
      <c r="A24" t="s">
        <v>178</v>
      </c>
      <c r="B24" s="5">
        <v>45715</v>
      </c>
      <c r="C24" t="s">
        <v>14</v>
      </c>
      <c r="D24" t="s">
        <v>144</v>
      </c>
      <c r="E24">
        <v>80</v>
      </c>
      <c r="F24" t="s">
        <v>99</v>
      </c>
    </row>
    <row r="25" spans="1:6" x14ac:dyDescent="0.3">
      <c r="A25" t="s">
        <v>179</v>
      </c>
      <c r="B25" s="5">
        <v>45717</v>
      </c>
      <c r="C25" t="s">
        <v>14</v>
      </c>
      <c r="D25" t="s">
        <v>146</v>
      </c>
      <c r="E25">
        <v>30</v>
      </c>
      <c r="F25" t="s">
        <v>180</v>
      </c>
    </row>
    <row r="26" spans="1:6" x14ac:dyDescent="0.3">
      <c r="A26" t="s">
        <v>181</v>
      </c>
      <c r="B26" s="5">
        <v>45721</v>
      </c>
      <c r="C26" t="s">
        <v>18</v>
      </c>
      <c r="D26" t="s">
        <v>144</v>
      </c>
      <c r="E26">
        <v>100</v>
      </c>
      <c r="F26" t="s">
        <v>100</v>
      </c>
    </row>
    <row r="27" spans="1:6" x14ac:dyDescent="0.3">
      <c r="A27" t="s">
        <v>182</v>
      </c>
      <c r="B27" s="5">
        <v>45724</v>
      </c>
      <c r="C27" t="s">
        <v>18</v>
      </c>
      <c r="D27" t="s">
        <v>146</v>
      </c>
      <c r="E27">
        <v>40</v>
      </c>
      <c r="F27" t="s">
        <v>183</v>
      </c>
    </row>
    <row r="28" spans="1:6" x14ac:dyDescent="0.3">
      <c r="A28" t="s">
        <v>184</v>
      </c>
      <c r="B28" s="5">
        <v>45728</v>
      </c>
      <c r="C28" t="s">
        <v>22</v>
      </c>
      <c r="D28" t="s">
        <v>144</v>
      </c>
      <c r="E28">
        <v>150</v>
      </c>
      <c r="F28" t="s">
        <v>101</v>
      </c>
    </row>
    <row r="29" spans="1:6" x14ac:dyDescent="0.3">
      <c r="A29" t="s">
        <v>185</v>
      </c>
      <c r="B29" s="5">
        <v>45731</v>
      </c>
      <c r="C29" t="s">
        <v>22</v>
      </c>
      <c r="D29" t="s">
        <v>146</v>
      </c>
      <c r="E29">
        <v>50</v>
      </c>
      <c r="F29" t="s">
        <v>186</v>
      </c>
    </row>
    <row r="30" spans="1:6" x14ac:dyDescent="0.3">
      <c r="A30" t="s">
        <v>187</v>
      </c>
      <c r="B30" s="5">
        <v>45736</v>
      </c>
      <c r="C30" t="s">
        <v>25</v>
      </c>
      <c r="D30" t="s">
        <v>144</v>
      </c>
      <c r="E30">
        <v>25</v>
      </c>
      <c r="F30" t="s">
        <v>102</v>
      </c>
    </row>
    <row r="31" spans="1:6" x14ac:dyDescent="0.3">
      <c r="A31" t="s">
        <v>188</v>
      </c>
      <c r="B31" s="5">
        <v>45739</v>
      </c>
      <c r="C31" t="s">
        <v>25</v>
      </c>
      <c r="D31" t="s">
        <v>146</v>
      </c>
      <c r="E31">
        <v>8</v>
      </c>
      <c r="F31" t="s">
        <v>189</v>
      </c>
    </row>
    <row r="32" spans="1:6" x14ac:dyDescent="0.3">
      <c r="A32" t="s">
        <v>190</v>
      </c>
      <c r="B32" s="5">
        <v>45727</v>
      </c>
      <c r="C32" t="s">
        <v>29</v>
      </c>
      <c r="D32" t="s">
        <v>144</v>
      </c>
      <c r="E32">
        <v>250</v>
      </c>
      <c r="F32" t="s">
        <v>103</v>
      </c>
    </row>
    <row r="33" spans="1:6" x14ac:dyDescent="0.3">
      <c r="A33" t="s">
        <v>191</v>
      </c>
      <c r="B33" s="5">
        <v>45730</v>
      </c>
      <c r="C33" t="s">
        <v>29</v>
      </c>
      <c r="D33" t="s">
        <v>146</v>
      </c>
      <c r="E33">
        <v>100</v>
      </c>
      <c r="F33" t="s">
        <v>192</v>
      </c>
    </row>
    <row r="34" spans="1:6" x14ac:dyDescent="0.3">
      <c r="A34" t="s">
        <v>193</v>
      </c>
      <c r="B34" s="5">
        <v>45750</v>
      </c>
      <c r="C34" t="s">
        <v>31</v>
      </c>
      <c r="D34" t="s">
        <v>144</v>
      </c>
      <c r="E34">
        <v>15</v>
      </c>
      <c r="F34" t="s">
        <v>104</v>
      </c>
    </row>
    <row r="35" spans="1:6" x14ac:dyDescent="0.3">
      <c r="A35" t="s">
        <v>194</v>
      </c>
      <c r="B35" s="5">
        <v>45753</v>
      </c>
      <c r="C35" t="s">
        <v>31</v>
      </c>
      <c r="D35" t="s">
        <v>146</v>
      </c>
      <c r="E35">
        <v>6</v>
      </c>
      <c r="F35" t="s">
        <v>195</v>
      </c>
    </row>
    <row r="36" spans="1:6" x14ac:dyDescent="0.3">
      <c r="A36" t="s">
        <v>196</v>
      </c>
      <c r="B36" s="5">
        <v>45741</v>
      </c>
      <c r="C36" t="s">
        <v>33</v>
      </c>
      <c r="D36" t="s">
        <v>144</v>
      </c>
      <c r="E36">
        <v>180</v>
      </c>
      <c r="F36" t="s">
        <v>105</v>
      </c>
    </row>
    <row r="37" spans="1:6" x14ac:dyDescent="0.3">
      <c r="A37" t="s">
        <v>197</v>
      </c>
      <c r="B37" s="5">
        <v>45744</v>
      </c>
      <c r="C37" t="s">
        <v>33</v>
      </c>
      <c r="D37" t="s">
        <v>146</v>
      </c>
      <c r="E37">
        <v>70</v>
      </c>
      <c r="F37" t="s">
        <v>198</v>
      </c>
    </row>
    <row r="38" spans="1:6" x14ac:dyDescent="0.3">
      <c r="A38" t="s">
        <v>199</v>
      </c>
      <c r="B38" s="5">
        <v>45748</v>
      </c>
      <c r="C38" t="s">
        <v>37</v>
      </c>
      <c r="D38" t="s">
        <v>144</v>
      </c>
      <c r="E38">
        <v>75</v>
      </c>
      <c r="F38" t="s">
        <v>106</v>
      </c>
    </row>
    <row r="39" spans="1:6" x14ac:dyDescent="0.3">
      <c r="A39" t="s">
        <v>200</v>
      </c>
      <c r="B39" s="5">
        <v>45751</v>
      </c>
      <c r="C39" t="s">
        <v>37</v>
      </c>
      <c r="D39" t="s">
        <v>146</v>
      </c>
      <c r="E39">
        <v>30</v>
      </c>
      <c r="F39" t="s">
        <v>201</v>
      </c>
    </row>
    <row r="40" spans="1:6" x14ac:dyDescent="0.3">
      <c r="A40" t="s">
        <v>202</v>
      </c>
      <c r="B40" s="5">
        <v>45746</v>
      </c>
      <c r="C40" t="s">
        <v>39</v>
      </c>
      <c r="D40" t="s">
        <v>144</v>
      </c>
      <c r="E40">
        <v>90</v>
      </c>
      <c r="F40" t="s">
        <v>107</v>
      </c>
    </row>
    <row r="41" spans="1:6" x14ac:dyDescent="0.3">
      <c r="A41" t="s">
        <v>203</v>
      </c>
      <c r="B41" s="5">
        <v>45749</v>
      </c>
      <c r="C41" t="s">
        <v>39</v>
      </c>
      <c r="D41" t="s">
        <v>146</v>
      </c>
      <c r="E41">
        <v>35</v>
      </c>
      <c r="F41" t="s">
        <v>204</v>
      </c>
    </row>
    <row r="42" spans="1:6" x14ac:dyDescent="0.3">
      <c r="A42" t="s">
        <v>205</v>
      </c>
      <c r="B42" s="5">
        <v>45762</v>
      </c>
      <c r="C42" t="s">
        <v>9</v>
      </c>
      <c r="D42" t="s">
        <v>144</v>
      </c>
      <c r="E42">
        <v>60</v>
      </c>
      <c r="F42" t="s">
        <v>108</v>
      </c>
    </row>
    <row r="43" spans="1:6" x14ac:dyDescent="0.3">
      <c r="A43" t="s">
        <v>206</v>
      </c>
      <c r="B43" s="5">
        <v>45765</v>
      </c>
      <c r="C43" t="s">
        <v>9</v>
      </c>
      <c r="D43" t="s">
        <v>146</v>
      </c>
      <c r="E43">
        <v>30</v>
      </c>
      <c r="F43" t="s">
        <v>207</v>
      </c>
    </row>
    <row r="44" spans="1:6" x14ac:dyDescent="0.3">
      <c r="A44" t="s">
        <v>208</v>
      </c>
      <c r="B44" s="5">
        <v>45761</v>
      </c>
      <c r="C44" t="s">
        <v>14</v>
      </c>
      <c r="D44" t="s">
        <v>144</v>
      </c>
      <c r="E44">
        <v>120</v>
      </c>
      <c r="F44" t="s">
        <v>109</v>
      </c>
    </row>
    <row r="45" spans="1:6" x14ac:dyDescent="0.3">
      <c r="A45" t="s">
        <v>209</v>
      </c>
      <c r="B45" s="5">
        <v>45764</v>
      </c>
      <c r="C45" t="s">
        <v>14</v>
      </c>
      <c r="D45" t="s">
        <v>146</v>
      </c>
      <c r="E45">
        <v>45</v>
      </c>
      <c r="F45" t="s">
        <v>210</v>
      </c>
    </row>
    <row r="46" spans="1:6" x14ac:dyDescent="0.3">
      <c r="A46" t="s">
        <v>211</v>
      </c>
      <c r="B46" s="5">
        <v>45771</v>
      </c>
      <c r="C46" t="s">
        <v>18</v>
      </c>
      <c r="D46" t="s">
        <v>144</v>
      </c>
      <c r="E46">
        <v>90</v>
      </c>
      <c r="F46" t="s">
        <v>110</v>
      </c>
    </row>
    <row r="47" spans="1:6" x14ac:dyDescent="0.3">
      <c r="A47" t="s">
        <v>212</v>
      </c>
      <c r="B47" s="5">
        <v>45774</v>
      </c>
      <c r="C47" t="s">
        <v>18</v>
      </c>
      <c r="D47" t="s">
        <v>146</v>
      </c>
      <c r="E47">
        <v>35</v>
      </c>
      <c r="F47" t="s">
        <v>213</v>
      </c>
    </row>
    <row r="48" spans="1:6" x14ac:dyDescent="0.3">
      <c r="A48" t="s">
        <v>214</v>
      </c>
      <c r="B48" s="5">
        <v>45769</v>
      </c>
      <c r="C48" t="s">
        <v>22</v>
      </c>
      <c r="D48" t="s">
        <v>144</v>
      </c>
      <c r="E48">
        <v>130</v>
      </c>
      <c r="F48" t="s">
        <v>111</v>
      </c>
    </row>
    <row r="49" spans="1:6" x14ac:dyDescent="0.3">
      <c r="A49" t="s">
        <v>215</v>
      </c>
      <c r="B49" s="5">
        <v>45772</v>
      </c>
      <c r="C49" t="s">
        <v>22</v>
      </c>
      <c r="D49" t="s">
        <v>146</v>
      </c>
      <c r="E49">
        <v>55</v>
      </c>
      <c r="F49" t="s">
        <v>216</v>
      </c>
    </row>
    <row r="50" spans="1:6" x14ac:dyDescent="0.3">
      <c r="A50" t="s">
        <v>217</v>
      </c>
      <c r="B50" s="5">
        <v>45785</v>
      </c>
      <c r="C50" t="s">
        <v>25</v>
      </c>
      <c r="D50" t="s">
        <v>144</v>
      </c>
      <c r="E50">
        <v>35</v>
      </c>
      <c r="F50" t="s">
        <v>112</v>
      </c>
    </row>
    <row r="51" spans="1:6" x14ac:dyDescent="0.3">
      <c r="A51" t="s">
        <v>218</v>
      </c>
      <c r="B51" s="5">
        <v>45788</v>
      </c>
      <c r="C51" t="s">
        <v>25</v>
      </c>
      <c r="D51" t="s">
        <v>146</v>
      </c>
      <c r="E51">
        <v>12</v>
      </c>
      <c r="F51" t="s">
        <v>219</v>
      </c>
    </row>
    <row r="52" spans="1:6" x14ac:dyDescent="0.3">
      <c r="A52" t="s">
        <v>220</v>
      </c>
      <c r="B52" s="5">
        <v>45774</v>
      </c>
      <c r="C52" t="s">
        <v>29</v>
      </c>
      <c r="D52" t="s">
        <v>144</v>
      </c>
      <c r="E52">
        <v>220</v>
      </c>
      <c r="F52" t="s">
        <v>113</v>
      </c>
    </row>
    <row r="53" spans="1:6" x14ac:dyDescent="0.3">
      <c r="A53" t="s">
        <v>221</v>
      </c>
      <c r="B53" s="5">
        <v>45777</v>
      </c>
      <c r="C53" t="s">
        <v>29</v>
      </c>
      <c r="D53" t="s">
        <v>146</v>
      </c>
      <c r="E53">
        <v>90</v>
      </c>
      <c r="F53" t="s">
        <v>222</v>
      </c>
    </row>
    <row r="54" spans="1:6" x14ac:dyDescent="0.3">
      <c r="A54" t="s">
        <v>223</v>
      </c>
      <c r="B54" s="5">
        <v>45797</v>
      </c>
      <c r="C54" t="s">
        <v>31</v>
      </c>
      <c r="D54" t="s">
        <v>144</v>
      </c>
      <c r="E54">
        <v>18</v>
      </c>
      <c r="F54" t="s">
        <v>114</v>
      </c>
    </row>
    <row r="55" spans="1:6" x14ac:dyDescent="0.3">
      <c r="A55" t="s">
        <v>224</v>
      </c>
      <c r="B55" s="5">
        <v>45800</v>
      </c>
      <c r="C55" t="s">
        <v>31</v>
      </c>
      <c r="D55" t="s">
        <v>146</v>
      </c>
      <c r="E55">
        <v>8</v>
      </c>
      <c r="F55" t="s">
        <v>225</v>
      </c>
    </row>
    <row r="56" spans="1:6" x14ac:dyDescent="0.3">
      <c r="A56" t="s">
        <v>226</v>
      </c>
      <c r="B56" s="5">
        <v>45784</v>
      </c>
      <c r="C56" t="s">
        <v>33</v>
      </c>
      <c r="D56" t="s">
        <v>144</v>
      </c>
      <c r="E56">
        <v>200</v>
      </c>
      <c r="F56" t="s">
        <v>115</v>
      </c>
    </row>
    <row r="57" spans="1:6" x14ac:dyDescent="0.3">
      <c r="A57" t="s">
        <v>227</v>
      </c>
      <c r="B57" s="5">
        <v>45787</v>
      </c>
      <c r="C57" t="s">
        <v>33</v>
      </c>
      <c r="D57" t="s">
        <v>146</v>
      </c>
      <c r="E57">
        <v>85</v>
      </c>
      <c r="F57" t="s">
        <v>228</v>
      </c>
    </row>
    <row r="58" spans="1:6" x14ac:dyDescent="0.3">
      <c r="A58" t="s">
        <v>229</v>
      </c>
      <c r="B58" s="5">
        <v>45795</v>
      </c>
      <c r="C58" t="s">
        <v>37</v>
      </c>
      <c r="D58" t="s">
        <v>144</v>
      </c>
      <c r="E58">
        <v>65</v>
      </c>
      <c r="F58" t="s">
        <v>116</v>
      </c>
    </row>
    <row r="59" spans="1:6" x14ac:dyDescent="0.3">
      <c r="A59" t="s">
        <v>230</v>
      </c>
      <c r="B59" s="5">
        <v>45798</v>
      </c>
      <c r="C59" t="s">
        <v>37</v>
      </c>
      <c r="D59" t="s">
        <v>146</v>
      </c>
      <c r="E59">
        <v>30</v>
      </c>
      <c r="F59" t="s">
        <v>231</v>
      </c>
    </row>
    <row r="60" spans="1:6" x14ac:dyDescent="0.3">
      <c r="A60" t="s">
        <v>232</v>
      </c>
      <c r="B60" s="5">
        <v>45796</v>
      </c>
      <c r="C60" t="s">
        <v>39</v>
      </c>
      <c r="D60" t="s">
        <v>144</v>
      </c>
      <c r="E60">
        <v>100</v>
      </c>
      <c r="F60" t="s">
        <v>117</v>
      </c>
    </row>
    <row r="61" spans="1:6" x14ac:dyDescent="0.3">
      <c r="A61" t="s">
        <v>233</v>
      </c>
      <c r="B61" s="5">
        <v>45799</v>
      </c>
      <c r="C61" t="s">
        <v>39</v>
      </c>
      <c r="D61" t="s">
        <v>146</v>
      </c>
      <c r="E61">
        <v>40</v>
      </c>
      <c r="F61" t="s">
        <v>234</v>
      </c>
    </row>
    <row r="62" spans="1:6" x14ac:dyDescent="0.3">
      <c r="A62" t="s">
        <v>235</v>
      </c>
      <c r="B62" s="5">
        <v>45802</v>
      </c>
      <c r="C62" t="s">
        <v>9</v>
      </c>
      <c r="D62" t="s">
        <v>144</v>
      </c>
      <c r="E62">
        <v>80</v>
      </c>
      <c r="F62" t="s">
        <v>118</v>
      </c>
    </row>
    <row r="63" spans="1:6" x14ac:dyDescent="0.3">
      <c r="A63" t="s">
        <v>236</v>
      </c>
      <c r="B63" s="5">
        <v>45805</v>
      </c>
      <c r="C63" t="s">
        <v>9</v>
      </c>
      <c r="D63" t="s">
        <v>146</v>
      </c>
      <c r="E63">
        <v>35</v>
      </c>
      <c r="F63" t="s">
        <v>237</v>
      </c>
    </row>
    <row r="64" spans="1:6" x14ac:dyDescent="0.3">
      <c r="A64" t="s">
        <v>238</v>
      </c>
      <c r="B64" s="5">
        <v>45801</v>
      </c>
      <c r="C64" t="s">
        <v>14</v>
      </c>
      <c r="D64" t="s">
        <v>144</v>
      </c>
      <c r="E64">
        <v>90</v>
      </c>
      <c r="F64" t="s">
        <v>119</v>
      </c>
    </row>
    <row r="65" spans="1:6" x14ac:dyDescent="0.3">
      <c r="A65" t="s">
        <v>239</v>
      </c>
      <c r="B65" s="5">
        <v>45804</v>
      </c>
      <c r="C65" t="s">
        <v>14</v>
      </c>
      <c r="D65" t="s">
        <v>146</v>
      </c>
      <c r="E65">
        <v>40</v>
      </c>
      <c r="F65" t="s">
        <v>240</v>
      </c>
    </row>
    <row r="66" spans="1:6" x14ac:dyDescent="0.3">
      <c r="A66" t="s">
        <v>241</v>
      </c>
      <c r="B66" s="5">
        <v>45814</v>
      </c>
      <c r="C66" t="s">
        <v>18</v>
      </c>
      <c r="D66" t="s">
        <v>144</v>
      </c>
      <c r="E66">
        <v>110</v>
      </c>
      <c r="F66" t="s">
        <v>120</v>
      </c>
    </row>
    <row r="67" spans="1:6" x14ac:dyDescent="0.3">
      <c r="A67" t="s">
        <v>242</v>
      </c>
      <c r="B67" s="5">
        <v>45817</v>
      </c>
      <c r="C67" t="s">
        <v>18</v>
      </c>
      <c r="D67" t="s">
        <v>146</v>
      </c>
      <c r="E67">
        <v>45</v>
      </c>
      <c r="F67" t="s">
        <v>243</v>
      </c>
    </row>
    <row r="68" spans="1:6" x14ac:dyDescent="0.3">
      <c r="A68" t="s">
        <v>244</v>
      </c>
      <c r="B68" s="5">
        <v>45811</v>
      </c>
      <c r="C68" t="s">
        <v>22</v>
      </c>
      <c r="D68" t="s">
        <v>144</v>
      </c>
      <c r="E68">
        <v>160</v>
      </c>
      <c r="F68" t="s">
        <v>121</v>
      </c>
    </row>
    <row r="69" spans="1:6" x14ac:dyDescent="0.3">
      <c r="A69" t="s">
        <v>245</v>
      </c>
      <c r="B69" s="5">
        <v>45814</v>
      </c>
      <c r="C69" t="s">
        <v>22</v>
      </c>
      <c r="D69" t="s">
        <v>146</v>
      </c>
      <c r="E69">
        <v>65</v>
      </c>
      <c r="F69" t="s">
        <v>246</v>
      </c>
    </row>
    <row r="70" spans="1:6" x14ac:dyDescent="0.3">
      <c r="A70" t="s">
        <v>247</v>
      </c>
      <c r="B70" s="5">
        <v>45822</v>
      </c>
      <c r="C70" t="s">
        <v>25</v>
      </c>
      <c r="D70" t="s">
        <v>144</v>
      </c>
      <c r="E70">
        <v>28</v>
      </c>
      <c r="F70" t="s">
        <v>122</v>
      </c>
    </row>
    <row r="71" spans="1:6" x14ac:dyDescent="0.3">
      <c r="A71" t="s">
        <v>248</v>
      </c>
      <c r="B71" s="5">
        <v>45825</v>
      </c>
      <c r="C71" t="s">
        <v>25</v>
      </c>
      <c r="D71" t="s">
        <v>146</v>
      </c>
      <c r="E71">
        <v>10</v>
      </c>
      <c r="F71" t="s">
        <v>249</v>
      </c>
    </row>
    <row r="72" spans="1:6" x14ac:dyDescent="0.3">
      <c r="A72" t="s">
        <v>250</v>
      </c>
      <c r="B72" s="5">
        <v>45816</v>
      </c>
      <c r="C72" t="s">
        <v>29</v>
      </c>
      <c r="D72" t="s">
        <v>144</v>
      </c>
      <c r="E72">
        <v>300</v>
      </c>
      <c r="F72" t="s">
        <v>123</v>
      </c>
    </row>
    <row r="73" spans="1:6" x14ac:dyDescent="0.3">
      <c r="A73" t="s">
        <v>251</v>
      </c>
      <c r="B73" s="5">
        <v>45819</v>
      </c>
      <c r="C73" t="s">
        <v>29</v>
      </c>
      <c r="D73" t="s">
        <v>146</v>
      </c>
      <c r="E73">
        <v>120</v>
      </c>
      <c r="F73" t="s">
        <v>252</v>
      </c>
    </row>
    <row r="74" spans="1:6" x14ac:dyDescent="0.3">
      <c r="A74" t="s">
        <v>253</v>
      </c>
      <c r="B74" s="5">
        <v>45838</v>
      </c>
      <c r="C74" t="s">
        <v>31</v>
      </c>
      <c r="D74" t="s">
        <v>144</v>
      </c>
      <c r="E74">
        <v>22</v>
      </c>
      <c r="F74" t="s">
        <v>124</v>
      </c>
    </row>
    <row r="75" spans="1:6" x14ac:dyDescent="0.3">
      <c r="A75" t="s">
        <v>254</v>
      </c>
      <c r="B75" s="5">
        <v>45841</v>
      </c>
      <c r="C75" t="s">
        <v>31</v>
      </c>
      <c r="D75" t="s">
        <v>146</v>
      </c>
      <c r="E75">
        <v>9</v>
      </c>
      <c r="F75" t="s">
        <v>255</v>
      </c>
    </row>
    <row r="76" spans="1:6" x14ac:dyDescent="0.3">
      <c r="A76" t="s">
        <v>256</v>
      </c>
      <c r="B76" s="5">
        <v>45825</v>
      </c>
      <c r="C76" t="s">
        <v>33</v>
      </c>
      <c r="D76" t="s">
        <v>144</v>
      </c>
      <c r="E76">
        <v>170</v>
      </c>
      <c r="F76" t="s">
        <v>125</v>
      </c>
    </row>
    <row r="77" spans="1:6" x14ac:dyDescent="0.3">
      <c r="A77" t="s">
        <v>257</v>
      </c>
      <c r="B77" s="5">
        <v>45828</v>
      </c>
      <c r="C77" t="s">
        <v>33</v>
      </c>
      <c r="D77" t="s">
        <v>146</v>
      </c>
      <c r="E77">
        <v>75</v>
      </c>
      <c r="F77" t="s">
        <v>258</v>
      </c>
    </row>
    <row r="78" spans="1:6" x14ac:dyDescent="0.3">
      <c r="A78" t="s">
        <v>259</v>
      </c>
      <c r="B78" s="5">
        <v>45835</v>
      </c>
      <c r="C78" t="s">
        <v>37</v>
      </c>
      <c r="D78" t="s">
        <v>144</v>
      </c>
      <c r="E78">
        <v>80</v>
      </c>
      <c r="F78" t="s">
        <v>126</v>
      </c>
    </row>
    <row r="79" spans="1:6" x14ac:dyDescent="0.3">
      <c r="A79" t="s">
        <v>260</v>
      </c>
      <c r="B79" s="5">
        <v>45838</v>
      </c>
      <c r="C79" t="s">
        <v>37</v>
      </c>
      <c r="D79" t="s">
        <v>146</v>
      </c>
      <c r="E79">
        <v>35</v>
      </c>
      <c r="F79" t="s">
        <v>261</v>
      </c>
    </row>
    <row r="80" spans="1:6" x14ac:dyDescent="0.3">
      <c r="A80" t="s">
        <v>262</v>
      </c>
      <c r="B80" s="5">
        <v>45837</v>
      </c>
      <c r="C80" t="s">
        <v>39</v>
      </c>
      <c r="D80" t="s">
        <v>144</v>
      </c>
      <c r="E80">
        <v>85</v>
      </c>
      <c r="F80" t="s">
        <v>127</v>
      </c>
    </row>
    <row r="81" spans="1:6" x14ac:dyDescent="0.3">
      <c r="A81" t="s">
        <v>263</v>
      </c>
      <c r="B81" s="5">
        <v>45840</v>
      </c>
      <c r="C81" t="s">
        <v>39</v>
      </c>
      <c r="D81" t="s">
        <v>146</v>
      </c>
      <c r="E81">
        <v>40</v>
      </c>
      <c r="F81" t="s">
        <v>264</v>
      </c>
    </row>
    <row r="82" spans="1:6" x14ac:dyDescent="0.3">
      <c r="A82" t="s">
        <v>265</v>
      </c>
      <c r="B82" s="5">
        <v>45846</v>
      </c>
      <c r="C82" t="s">
        <v>9</v>
      </c>
      <c r="D82" t="s">
        <v>144</v>
      </c>
      <c r="E82">
        <v>55</v>
      </c>
      <c r="F82" t="s">
        <v>128</v>
      </c>
    </row>
    <row r="83" spans="1:6" x14ac:dyDescent="0.3">
      <c r="A83" t="s">
        <v>266</v>
      </c>
      <c r="B83" s="5">
        <v>45849</v>
      </c>
      <c r="C83" t="s">
        <v>9</v>
      </c>
      <c r="D83" t="s">
        <v>146</v>
      </c>
      <c r="E83">
        <v>25</v>
      </c>
      <c r="F83" t="s">
        <v>267</v>
      </c>
    </row>
    <row r="84" spans="1:6" x14ac:dyDescent="0.3">
      <c r="A84" t="s">
        <v>268</v>
      </c>
      <c r="B84" s="5">
        <v>45841</v>
      </c>
      <c r="C84" t="s">
        <v>14</v>
      </c>
      <c r="D84" t="s">
        <v>144</v>
      </c>
      <c r="E84">
        <v>110</v>
      </c>
      <c r="F84" t="s">
        <v>129</v>
      </c>
    </row>
    <row r="85" spans="1:6" x14ac:dyDescent="0.3">
      <c r="A85" t="s">
        <v>269</v>
      </c>
      <c r="B85" s="5">
        <v>45844</v>
      </c>
      <c r="C85" t="s">
        <v>14</v>
      </c>
      <c r="D85" t="s">
        <v>146</v>
      </c>
      <c r="E85">
        <v>45</v>
      </c>
      <c r="F85" t="s">
        <v>270</v>
      </c>
    </row>
    <row r="86" spans="1:6" x14ac:dyDescent="0.3">
      <c r="A86" t="s">
        <v>271</v>
      </c>
      <c r="B86" s="5">
        <v>45855</v>
      </c>
      <c r="C86" t="s">
        <v>18</v>
      </c>
      <c r="D86" t="s">
        <v>144</v>
      </c>
      <c r="E86">
        <v>95</v>
      </c>
      <c r="F86" t="s">
        <v>130</v>
      </c>
    </row>
    <row r="87" spans="1:6" x14ac:dyDescent="0.3">
      <c r="A87" t="s">
        <v>272</v>
      </c>
      <c r="B87" s="5">
        <v>45858</v>
      </c>
      <c r="C87" t="s">
        <v>18</v>
      </c>
      <c r="D87" t="s">
        <v>146</v>
      </c>
      <c r="E87">
        <v>40</v>
      </c>
      <c r="F87" t="s">
        <v>273</v>
      </c>
    </row>
    <row r="88" spans="1:6" x14ac:dyDescent="0.3">
      <c r="A88" t="s">
        <v>274</v>
      </c>
      <c r="B88" s="5">
        <v>45851</v>
      </c>
      <c r="C88" t="s">
        <v>22</v>
      </c>
      <c r="D88" t="s">
        <v>144</v>
      </c>
      <c r="E88">
        <v>140</v>
      </c>
      <c r="F88" t="s">
        <v>131</v>
      </c>
    </row>
    <row r="89" spans="1:6" x14ac:dyDescent="0.3">
      <c r="A89" t="s">
        <v>275</v>
      </c>
      <c r="B89" s="5">
        <v>45854</v>
      </c>
      <c r="C89" t="s">
        <v>22</v>
      </c>
      <c r="D89" t="s">
        <v>146</v>
      </c>
      <c r="E89">
        <v>55</v>
      </c>
      <c r="F89" t="s">
        <v>276</v>
      </c>
    </row>
    <row r="90" spans="1:6" x14ac:dyDescent="0.3">
      <c r="A90" t="s">
        <v>277</v>
      </c>
      <c r="B90" s="5">
        <v>45868</v>
      </c>
      <c r="C90" t="s">
        <v>25</v>
      </c>
      <c r="D90" t="s">
        <v>144</v>
      </c>
      <c r="E90">
        <v>32</v>
      </c>
      <c r="F90" t="s">
        <v>132</v>
      </c>
    </row>
    <row r="91" spans="1:6" x14ac:dyDescent="0.3">
      <c r="A91" t="s">
        <v>278</v>
      </c>
      <c r="B91" s="5">
        <v>45871</v>
      </c>
      <c r="C91" t="s">
        <v>25</v>
      </c>
      <c r="D91" t="s">
        <v>146</v>
      </c>
      <c r="E91">
        <v>12</v>
      </c>
      <c r="F91" t="s">
        <v>279</v>
      </c>
    </row>
    <row r="92" spans="1:6" x14ac:dyDescent="0.3">
      <c r="A92" t="s">
        <v>280</v>
      </c>
      <c r="B92" s="5">
        <v>45856</v>
      </c>
      <c r="C92" t="s">
        <v>29</v>
      </c>
      <c r="D92" t="s">
        <v>144</v>
      </c>
      <c r="E92">
        <v>240</v>
      </c>
      <c r="F92" t="s">
        <v>133</v>
      </c>
    </row>
    <row r="93" spans="1:6" x14ac:dyDescent="0.3">
      <c r="A93" t="s">
        <v>281</v>
      </c>
      <c r="B93" s="5">
        <v>45859</v>
      </c>
      <c r="C93" t="s">
        <v>29</v>
      </c>
      <c r="D93" t="s">
        <v>146</v>
      </c>
      <c r="E93">
        <v>100</v>
      </c>
      <c r="F93" t="s">
        <v>282</v>
      </c>
    </row>
    <row r="94" spans="1:6" x14ac:dyDescent="0.3">
      <c r="A94" t="s">
        <v>283</v>
      </c>
      <c r="B94" s="5">
        <v>45878</v>
      </c>
      <c r="C94" t="s">
        <v>31</v>
      </c>
      <c r="D94" t="s">
        <v>144</v>
      </c>
      <c r="E94">
        <v>16</v>
      </c>
      <c r="F94" t="s">
        <v>134</v>
      </c>
    </row>
    <row r="95" spans="1:6" x14ac:dyDescent="0.3">
      <c r="A95" t="s">
        <v>284</v>
      </c>
      <c r="B95" s="5">
        <v>45881</v>
      </c>
      <c r="C95" t="s">
        <v>31</v>
      </c>
      <c r="D95" t="s">
        <v>146</v>
      </c>
      <c r="E95">
        <v>7</v>
      </c>
      <c r="F95" t="s">
        <v>285</v>
      </c>
    </row>
    <row r="96" spans="1:6" x14ac:dyDescent="0.3">
      <c r="A96" t="s">
        <v>286</v>
      </c>
      <c r="B96" s="5">
        <v>45867</v>
      </c>
      <c r="C96" t="s">
        <v>33</v>
      </c>
      <c r="D96" t="s">
        <v>144</v>
      </c>
      <c r="E96">
        <v>190</v>
      </c>
      <c r="F96" t="s">
        <v>135</v>
      </c>
    </row>
    <row r="97" spans="1:6" x14ac:dyDescent="0.3">
      <c r="A97" t="s">
        <v>287</v>
      </c>
      <c r="B97" s="5">
        <v>45870</v>
      </c>
      <c r="C97" t="s">
        <v>33</v>
      </c>
      <c r="D97" t="s">
        <v>146</v>
      </c>
      <c r="E97">
        <v>80</v>
      </c>
      <c r="F97" t="s">
        <v>288</v>
      </c>
    </row>
    <row r="98" spans="1:6" x14ac:dyDescent="0.3">
      <c r="A98" t="s">
        <v>289</v>
      </c>
      <c r="B98" s="5">
        <v>45876</v>
      </c>
      <c r="C98" t="s">
        <v>37</v>
      </c>
      <c r="D98" t="s">
        <v>144</v>
      </c>
      <c r="E98">
        <v>70</v>
      </c>
      <c r="F98" t="s">
        <v>136</v>
      </c>
    </row>
    <row r="99" spans="1:6" x14ac:dyDescent="0.3">
      <c r="A99" t="s">
        <v>290</v>
      </c>
      <c r="B99" s="5">
        <v>45879</v>
      </c>
      <c r="C99" t="s">
        <v>37</v>
      </c>
      <c r="D99" t="s">
        <v>146</v>
      </c>
      <c r="E99">
        <v>30</v>
      </c>
      <c r="F99" t="s">
        <v>291</v>
      </c>
    </row>
    <row r="100" spans="1:6" x14ac:dyDescent="0.3">
      <c r="A100" t="s">
        <v>292</v>
      </c>
      <c r="B100" s="5">
        <v>45879</v>
      </c>
      <c r="C100" t="s">
        <v>39</v>
      </c>
      <c r="D100" t="s">
        <v>144</v>
      </c>
      <c r="E100">
        <v>95</v>
      </c>
      <c r="F100" t="s">
        <v>137</v>
      </c>
    </row>
    <row r="101" spans="1:6" x14ac:dyDescent="0.3">
      <c r="A101" t="s">
        <v>293</v>
      </c>
      <c r="B101" s="5">
        <v>45882</v>
      </c>
      <c r="C101" t="s">
        <v>39</v>
      </c>
      <c r="D101" t="s">
        <v>146</v>
      </c>
      <c r="E101">
        <v>40</v>
      </c>
      <c r="F101" t="s">
        <v>294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AC3D-2F3B-43DD-9E3C-2E0180267E12}">
  <dimension ref="A1:C121"/>
  <sheetViews>
    <sheetView workbookViewId="0">
      <selection activeCell="C19" sqref="C19"/>
    </sheetView>
  </sheetViews>
  <sheetFormatPr defaultRowHeight="14.4" x14ac:dyDescent="0.3"/>
  <cols>
    <col min="1" max="1" width="11.33203125" customWidth="1"/>
    <col min="2" max="2" width="15.6640625" customWidth="1"/>
    <col min="3" max="3" width="17.21875" customWidth="1"/>
  </cols>
  <sheetData>
    <row r="1" spans="1:3" x14ac:dyDescent="0.3">
      <c r="A1" t="s">
        <v>0</v>
      </c>
      <c r="B1" t="s">
        <v>295</v>
      </c>
      <c r="C1" t="s">
        <v>296</v>
      </c>
    </row>
    <row r="2" spans="1:3" x14ac:dyDescent="0.3">
      <c r="A2" t="s">
        <v>9</v>
      </c>
      <c r="B2" s="5">
        <v>45658</v>
      </c>
      <c r="C2">
        <v>45</v>
      </c>
    </row>
    <row r="3" spans="1:3" x14ac:dyDescent="0.3">
      <c r="A3" t="s">
        <v>9</v>
      </c>
      <c r="B3" s="5">
        <v>45689</v>
      </c>
      <c r="C3">
        <v>50</v>
      </c>
    </row>
    <row r="4" spans="1:3" x14ac:dyDescent="0.3">
      <c r="A4" t="s">
        <v>9</v>
      </c>
      <c r="B4" s="5">
        <v>45717</v>
      </c>
      <c r="C4">
        <v>55</v>
      </c>
    </row>
    <row r="5" spans="1:3" x14ac:dyDescent="0.3">
      <c r="A5" t="s">
        <v>9</v>
      </c>
      <c r="B5" s="5">
        <v>45748</v>
      </c>
      <c r="C5">
        <v>60</v>
      </c>
    </row>
    <row r="6" spans="1:3" x14ac:dyDescent="0.3">
      <c r="A6" t="s">
        <v>9</v>
      </c>
      <c r="B6" s="5">
        <v>45778</v>
      </c>
      <c r="C6">
        <v>65</v>
      </c>
    </row>
    <row r="7" spans="1:3" x14ac:dyDescent="0.3">
      <c r="A7" t="s">
        <v>9</v>
      </c>
      <c r="B7" s="5">
        <v>45809</v>
      </c>
      <c r="C7">
        <v>70</v>
      </c>
    </row>
    <row r="8" spans="1:3" x14ac:dyDescent="0.3">
      <c r="A8" t="s">
        <v>9</v>
      </c>
      <c r="B8" s="5">
        <v>45839</v>
      </c>
      <c r="C8">
        <v>75</v>
      </c>
    </row>
    <row r="9" spans="1:3" x14ac:dyDescent="0.3">
      <c r="A9" t="s">
        <v>9</v>
      </c>
      <c r="B9" s="5">
        <v>45870</v>
      </c>
      <c r="C9">
        <v>80</v>
      </c>
    </row>
    <row r="10" spans="1:3" x14ac:dyDescent="0.3">
      <c r="A10" t="s">
        <v>9</v>
      </c>
      <c r="B10" s="5">
        <v>45901</v>
      </c>
      <c r="C10">
        <v>85</v>
      </c>
    </row>
    <row r="11" spans="1:3" x14ac:dyDescent="0.3">
      <c r="A11" t="s">
        <v>9</v>
      </c>
      <c r="B11" s="5">
        <v>45931</v>
      </c>
      <c r="C11">
        <v>90</v>
      </c>
    </row>
    <row r="12" spans="1:3" x14ac:dyDescent="0.3">
      <c r="A12" t="s">
        <v>9</v>
      </c>
      <c r="B12" s="5">
        <v>45962</v>
      </c>
      <c r="C12">
        <v>95</v>
      </c>
    </row>
    <row r="13" spans="1:3" x14ac:dyDescent="0.3">
      <c r="A13" t="s">
        <v>9</v>
      </c>
      <c r="B13" s="5">
        <v>45992</v>
      </c>
      <c r="C13">
        <v>100</v>
      </c>
    </row>
    <row r="14" spans="1:3" x14ac:dyDescent="0.3">
      <c r="A14" t="s">
        <v>14</v>
      </c>
      <c r="B14" s="5">
        <v>45658</v>
      </c>
      <c r="C14">
        <v>70</v>
      </c>
    </row>
    <row r="15" spans="1:3" x14ac:dyDescent="0.3">
      <c r="A15" t="s">
        <v>14</v>
      </c>
      <c r="B15" s="5">
        <v>45689</v>
      </c>
      <c r="C15">
        <v>75</v>
      </c>
    </row>
    <row r="16" spans="1:3" x14ac:dyDescent="0.3">
      <c r="A16" t="s">
        <v>14</v>
      </c>
      <c r="B16" s="5">
        <v>45717</v>
      </c>
      <c r="C16">
        <v>80</v>
      </c>
    </row>
    <row r="17" spans="1:3" x14ac:dyDescent="0.3">
      <c r="A17" t="s">
        <v>14</v>
      </c>
      <c r="B17" s="5">
        <v>45748</v>
      </c>
      <c r="C17">
        <v>85</v>
      </c>
    </row>
    <row r="18" spans="1:3" x14ac:dyDescent="0.3">
      <c r="A18" t="s">
        <v>14</v>
      </c>
      <c r="B18" s="5">
        <v>45778</v>
      </c>
      <c r="C18">
        <v>90</v>
      </c>
    </row>
    <row r="19" spans="1:3" x14ac:dyDescent="0.3">
      <c r="A19" t="s">
        <v>14</v>
      </c>
      <c r="B19" s="5">
        <v>45809</v>
      </c>
      <c r="C19">
        <v>95</v>
      </c>
    </row>
    <row r="20" spans="1:3" x14ac:dyDescent="0.3">
      <c r="A20" t="s">
        <v>14</v>
      </c>
      <c r="B20" s="5">
        <v>45839</v>
      </c>
      <c r="C20">
        <v>100</v>
      </c>
    </row>
    <row r="21" spans="1:3" x14ac:dyDescent="0.3">
      <c r="A21" t="s">
        <v>14</v>
      </c>
      <c r="B21" s="5">
        <v>45870</v>
      </c>
      <c r="C21">
        <v>105</v>
      </c>
    </row>
    <row r="22" spans="1:3" x14ac:dyDescent="0.3">
      <c r="A22" t="s">
        <v>14</v>
      </c>
      <c r="B22" s="5">
        <v>45901</v>
      </c>
      <c r="C22">
        <v>110</v>
      </c>
    </row>
    <row r="23" spans="1:3" x14ac:dyDescent="0.3">
      <c r="A23" t="s">
        <v>14</v>
      </c>
      <c r="B23" s="5">
        <v>45931</v>
      </c>
      <c r="C23">
        <v>115</v>
      </c>
    </row>
    <row r="24" spans="1:3" x14ac:dyDescent="0.3">
      <c r="A24" t="s">
        <v>14</v>
      </c>
      <c r="B24" s="5">
        <v>45962</v>
      </c>
      <c r="C24">
        <v>120</v>
      </c>
    </row>
    <row r="25" spans="1:3" x14ac:dyDescent="0.3">
      <c r="A25" t="s">
        <v>14</v>
      </c>
      <c r="B25" s="5">
        <v>45992</v>
      </c>
      <c r="C25">
        <v>125</v>
      </c>
    </row>
    <row r="26" spans="1:3" x14ac:dyDescent="0.3">
      <c r="A26" t="s">
        <v>18</v>
      </c>
      <c r="B26" s="5">
        <v>45658</v>
      </c>
      <c r="C26">
        <v>55</v>
      </c>
    </row>
    <row r="27" spans="1:3" x14ac:dyDescent="0.3">
      <c r="A27" t="s">
        <v>18</v>
      </c>
      <c r="B27" s="5">
        <v>45689</v>
      </c>
      <c r="C27">
        <v>60</v>
      </c>
    </row>
    <row r="28" spans="1:3" x14ac:dyDescent="0.3">
      <c r="A28" t="s">
        <v>18</v>
      </c>
      <c r="B28" s="5">
        <v>45717</v>
      </c>
      <c r="C28">
        <v>65</v>
      </c>
    </row>
    <row r="29" spans="1:3" x14ac:dyDescent="0.3">
      <c r="A29" t="s">
        <v>18</v>
      </c>
      <c r="B29" s="5">
        <v>45748</v>
      </c>
      <c r="C29">
        <v>70</v>
      </c>
    </row>
    <row r="30" spans="1:3" x14ac:dyDescent="0.3">
      <c r="A30" t="s">
        <v>18</v>
      </c>
      <c r="B30" s="5">
        <v>45778</v>
      </c>
      <c r="C30">
        <v>75</v>
      </c>
    </row>
    <row r="31" spans="1:3" x14ac:dyDescent="0.3">
      <c r="A31" t="s">
        <v>18</v>
      </c>
      <c r="B31" s="5">
        <v>45809</v>
      </c>
      <c r="C31">
        <v>80</v>
      </c>
    </row>
    <row r="32" spans="1:3" x14ac:dyDescent="0.3">
      <c r="A32" t="s">
        <v>18</v>
      </c>
      <c r="B32" s="5">
        <v>45839</v>
      </c>
      <c r="C32">
        <v>85</v>
      </c>
    </row>
    <row r="33" spans="1:3" x14ac:dyDescent="0.3">
      <c r="A33" t="s">
        <v>18</v>
      </c>
      <c r="B33" s="5">
        <v>45870</v>
      </c>
      <c r="C33">
        <v>90</v>
      </c>
    </row>
    <row r="34" spans="1:3" x14ac:dyDescent="0.3">
      <c r="A34" t="s">
        <v>18</v>
      </c>
      <c r="B34" s="5">
        <v>45901</v>
      </c>
      <c r="C34">
        <v>95</v>
      </c>
    </row>
    <row r="35" spans="1:3" x14ac:dyDescent="0.3">
      <c r="A35" t="s">
        <v>18</v>
      </c>
      <c r="B35" s="5">
        <v>45931</v>
      </c>
      <c r="C35">
        <v>100</v>
      </c>
    </row>
    <row r="36" spans="1:3" x14ac:dyDescent="0.3">
      <c r="A36" t="s">
        <v>18</v>
      </c>
      <c r="B36" s="5">
        <v>45962</v>
      </c>
      <c r="C36">
        <v>105</v>
      </c>
    </row>
    <row r="37" spans="1:3" x14ac:dyDescent="0.3">
      <c r="A37" t="s">
        <v>18</v>
      </c>
      <c r="B37" s="5">
        <v>45992</v>
      </c>
      <c r="C37">
        <v>110</v>
      </c>
    </row>
    <row r="38" spans="1:3" x14ac:dyDescent="0.3">
      <c r="A38" t="s">
        <v>22</v>
      </c>
      <c r="B38" s="5">
        <v>45658</v>
      </c>
      <c r="C38">
        <v>80</v>
      </c>
    </row>
    <row r="39" spans="1:3" x14ac:dyDescent="0.3">
      <c r="A39" t="s">
        <v>22</v>
      </c>
      <c r="B39" s="5">
        <v>45689</v>
      </c>
      <c r="C39">
        <v>85</v>
      </c>
    </row>
    <row r="40" spans="1:3" x14ac:dyDescent="0.3">
      <c r="A40" t="s">
        <v>22</v>
      </c>
      <c r="B40" s="5">
        <v>45717</v>
      </c>
      <c r="C40">
        <v>90</v>
      </c>
    </row>
    <row r="41" spans="1:3" x14ac:dyDescent="0.3">
      <c r="A41" t="s">
        <v>22</v>
      </c>
      <c r="B41" s="5">
        <v>45748</v>
      </c>
      <c r="C41">
        <v>95</v>
      </c>
    </row>
    <row r="42" spans="1:3" x14ac:dyDescent="0.3">
      <c r="A42" t="s">
        <v>22</v>
      </c>
      <c r="B42" s="5">
        <v>45778</v>
      </c>
      <c r="C42">
        <v>100</v>
      </c>
    </row>
    <row r="43" spans="1:3" x14ac:dyDescent="0.3">
      <c r="A43" t="s">
        <v>22</v>
      </c>
      <c r="B43" s="5">
        <v>45809</v>
      </c>
      <c r="C43">
        <v>105</v>
      </c>
    </row>
    <row r="44" spans="1:3" x14ac:dyDescent="0.3">
      <c r="A44" t="s">
        <v>22</v>
      </c>
      <c r="B44" s="5">
        <v>45839</v>
      </c>
      <c r="C44">
        <v>110</v>
      </c>
    </row>
    <row r="45" spans="1:3" x14ac:dyDescent="0.3">
      <c r="A45" t="s">
        <v>22</v>
      </c>
      <c r="B45" s="5">
        <v>45870</v>
      </c>
      <c r="C45">
        <v>115</v>
      </c>
    </row>
    <row r="46" spans="1:3" x14ac:dyDescent="0.3">
      <c r="A46" t="s">
        <v>22</v>
      </c>
      <c r="B46" s="5">
        <v>45901</v>
      </c>
      <c r="C46">
        <v>120</v>
      </c>
    </row>
    <row r="47" spans="1:3" x14ac:dyDescent="0.3">
      <c r="A47" t="s">
        <v>22</v>
      </c>
      <c r="B47" s="5">
        <v>45931</v>
      </c>
      <c r="C47">
        <v>125</v>
      </c>
    </row>
    <row r="48" spans="1:3" x14ac:dyDescent="0.3">
      <c r="A48" t="s">
        <v>22</v>
      </c>
      <c r="B48" s="5">
        <v>45962</v>
      </c>
      <c r="C48">
        <v>130</v>
      </c>
    </row>
    <row r="49" spans="1:3" x14ac:dyDescent="0.3">
      <c r="A49" t="s">
        <v>22</v>
      </c>
      <c r="B49" s="5">
        <v>45992</v>
      </c>
      <c r="C49">
        <v>135</v>
      </c>
    </row>
    <row r="50" spans="1:3" x14ac:dyDescent="0.3">
      <c r="A50" t="s">
        <v>25</v>
      </c>
      <c r="B50" s="5">
        <v>45658</v>
      </c>
      <c r="C50">
        <v>18</v>
      </c>
    </row>
    <row r="51" spans="1:3" x14ac:dyDescent="0.3">
      <c r="A51" t="s">
        <v>25</v>
      </c>
      <c r="B51" s="5">
        <v>45689</v>
      </c>
      <c r="C51">
        <v>20</v>
      </c>
    </row>
    <row r="52" spans="1:3" x14ac:dyDescent="0.3">
      <c r="A52" t="s">
        <v>25</v>
      </c>
      <c r="B52" s="5">
        <v>45717</v>
      </c>
      <c r="C52">
        <v>22</v>
      </c>
    </row>
    <row r="53" spans="1:3" x14ac:dyDescent="0.3">
      <c r="A53" t="s">
        <v>25</v>
      </c>
      <c r="B53" s="5">
        <v>45748</v>
      </c>
      <c r="C53">
        <v>24</v>
      </c>
    </row>
    <row r="54" spans="1:3" x14ac:dyDescent="0.3">
      <c r="A54" t="s">
        <v>25</v>
      </c>
      <c r="B54" s="5">
        <v>45778</v>
      </c>
      <c r="C54">
        <v>26</v>
      </c>
    </row>
    <row r="55" spans="1:3" x14ac:dyDescent="0.3">
      <c r="A55" t="s">
        <v>25</v>
      </c>
      <c r="B55" s="5">
        <v>45809</v>
      </c>
      <c r="C55">
        <v>28</v>
      </c>
    </row>
    <row r="56" spans="1:3" x14ac:dyDescent="0.3">
      <c r="A56" t="s">
        <v>25</v>
      </c>
      <c r="B56" s="5">
        <v>45839</v>
      </c>
      <c r="C56">
        <v>30</v>
      </c>
    </row>
    <row r="57" spans="1:3" x14ac:dyDescent="0.3">
      <c r="A57" t="s">
        <v>25</v>
      </c>
      <c r="B57" s="5">
        <v>45870</v>
      </c>
      <c r="C57">
        <v>32</v>
      </c>
    </row>
    <row r="58" spans="1:3" x14ac:dyDescent="0.3">
      <c r="A58" t="s">
        <v>25</v>
      </c>
      <c r="B58" s="5">
        <v>45901</v>
      </c>
      <c r="C58">
        <v>34</v>
      </c>
    </row>
    <row r="59" spans="1:3" x14ac:dyDescent="0.3">
      <c r="A59" t="s">
        <v>25</v>
      </c>
      <c r="B59" s="5">
        <v>45931</v>
      </c>
      <c r="C59">
        <v>36</v>
      </c>
    </row>
    <row r="60" spans="1:3" x14ac:dyDescent="0.3">
      <c r="A60" t="s">
        <v>25</v>
      </c>
      <c r="B60" s="5">
        <v>45962</v>
      </c>
      <c r="C60">
        <v>38</v>
      </c>
    </row>
    <row r="61" spans="1:3" x14ac:dyDescent="0.3">
      <c r="A61" t="s">
        <v>25</v>
      </c>
      <c r="B61" s="5">
        <v>45992</v>
      </c>
      <c r="C61">
        <v>40</v>
      </c>
    </row>
    <row r="62" spans="1:3" x14ac:dyDescent="0.3">
      <c r="A62" t="s">
        <v>29</v>
      </c>
      <c r="B62" s="5">
        <v>45658</v>
      </c>
      <c r="C62">
        <v>140</v>
      </c>
    </row>
    <row r="63" spans="1:3" x14ac:dyDescent="0.3">
      <c r="A63" t="s">
        <v>29</v>
      </c>
      <c r="B63" s="5">
        <v>45689</v>
      </c>
      <c r="C63">
        <v>150</v>
      </c>
    </row>
    <row r="64" spans="1:3" x14ac:dyDescent="0.3">
      <c r="A64" t="s">
        <v>29</v>
      </c>
      <c r="B64" s="5">
        <v>45717</v>
      </c>
      <c r="C64">
        <v>160</v>
      </c>
    </row>
    <row r="65" spans="1:3" x14ac:dyDescent="0.3">
      <c r="A65" t="s">
        <v>29</v>
      </c>
      <c r="B65" s="5">
        <v>45748</v>
      </c>
      <c r="C65">
        <v>170</v>
      </c>
    </row>
    <row r="66" spans="1:3" x14ac:dyDescent="0.3">
      <c r="A66" t="s">
        <v>29</v>
      </c>
      <c r="B66" s="5">
        <v>45778</v>
      </c>
      <c r="C66">
        <v>180</v>
      </c>
    </row>
    <row r="67" spans="1:3" x14ac:dyDescent="0.3">
      <c r="A67" t="s">
        <v>29</v>
      </c>
      <c r="B67" s="5">
        <v>45809</v>
      </c>
      <c r="C67">
        <v>190</v>
      </c>
    </row>
    <row r="68" spans="1:3" x14ac:dyDescent="0.3">
      <c r="A68" t="s">
        <v>29</v>
      </c>
      <c r="B68" s="5">
        <v>45839</v>
      </c>
      <c r="C68">
        <v>200</v>
      </c>
    </row>
    <row r="69" spans="1:3" x14ac:dyDescent="0.3">
      <c r="A69" t="s">
        <v>29</v>
      </c>
      <c r="B69" s="5">
        <v>45870</v>
      </c>
      <c r="C69">
        <v>210</v>
      </c>
    </row>
    <row r="70" spans="1:3" x14ac:dyDescent="0.3">
      <c r="A70" t="s">
        <v>29</v>
      </c>
      <c r="B70" s="5">
        <v>45901</v>
      </c>
      <c r="C70">
        <v>220</v>
      </c>
    </row>
    <row r="71" spans="1:3" x14ac:dyDescent="0.3">
      <c r="A71" t="s">
        <v>29</v>
      </c>
      <c r="B71" s="5">
        <v>45931</v>
      </c>
      <c r="C71">
        <v>230</v>
      </c>
    </row>
    <row r="72" spans="1:3" x14ac:dyDescent="0.3">
      <c r="A72" t="s">
        <v>29</v>
      </c>
      <c r="B72" s="5">
        <v>45962</v>
      </c>
      <c r="C72">
        <v>240</v>
      </c>
    </row>
    <row r="73" spans="1:3" x14ac:dyDescent="0.3">
      <c r="A73" t="s">
        <v>29</v>
      </c>
      <c r="B73" s="5">
        <v>45992</v>
      </c>
      <c r="C73">
        <v>250</v>
      </c>
    </row>
    <row r="74" spans="1:3" x14ac:dyDescent="0.3">
      <c r="A74" t="s">
        <v>31</v>
      </c>
      <c r="B74" s="5">
        <v>45658</v>
      </c>
      <c r="C74">
        <v>12</v>
      </c>
    </row>
    <row r="75" spans="1:3" x14ac:dyDescent="0.3">
      <c r="A75" t="s">
        <v>31</v>
      </c>
      <c r="B75" s="5">
        <v>45689</v>
      </c>
      <c r="C75">
        <v>13</v>
      </c>
    </row>
    <row r="76" spans="1:3" x14ac:dyDescent="0.3">
      <c r="A76" t="s">
        <v>31</v>
      </c>
      <c r="B76" s="5">
        <v>45717</v>
      </c>
      <c r="C76">
        <v>14</v>
      </c>
    </row>
    <row r="77" spans="1:3" x14ac:dyDescent="0.3">
      <c r="A77" t="s">
        <v>31</v>
      </c>
      <c r="B77" s="5">
        <v>45748</v>
      </c>
      <c r="C77">
        <v>15</v>
      </c>
    </row>
    <row r="78" spans="1:3" x14ac:dyDescent="0.3">
      <c r="A78" t="s">
        <v>31</v>
      </c>
      <c r="B78" s="5">
        <v>45778</v>
      </c>
      <c r="C78">
        <v>16</v>
      </c>
    </row>
    <row r="79" spans="1:3" x14ac:dyDescent="0.3">
      <c r="A79" t="s">
        <v>31</v>
      </c>
      <c r="B79" s="5">
        <v>45809</v>
      </c>
      <c r="C79">
        <v>17</v>
      </c>
    </row>
    <row r="80" spans="1:3" x14ac:dyDescent="0.3">
      <c r="A80" t="s">
        <v>31</v>
      </c>
      <c r="B80" s="5">
        <v>45839</v>
      </c>
      <c r="C80">
        <v>18</v>
      </c>
    </row>
    <row r="81" spans="1:3" x14ac:dyDescent="0.3">
      <c r="A81" t="s">
        <v>31</v>
      </c>
      <c r="B81" s="5">
        <v>45870</v>
      </c>
      <c r="C81">
        <v>19</v>
      </c>
    </row>
    <row r="82" spans="1:3" x14ac:dyDescent="0.3">
      <c r="A82" t="s">
        <v>31</v>
      </c>
      <c r="B82" s="5">
        <v>45901</v>
      </c>
      <c r="C82">
        <v>20</v>
      </c>
    </row>
    <row r="83" spans="1:3" x14ac:dyDescent="0.3">
      <c r="A83" t="s">
        <v>31</v>
      </c>
      <c r="B83" s="5">
        <v>45931</v>
      </c>
      <c r="C83">
        <v>21</v>
      </c>
    </row>
    <row r="84" spans="1:3" x14ac:dyDescent="0.3">
      <c r="A84" t="s">
        <v>31</v>
      </c>
      <c r="B84" s="5">
        <v>45962</v>
      </c>
      <c r="C84">
        <v>22</v>
      </c>
    </row>
    <row r="85" spans="1:3" x14ac:dyDescent="0.3">
      <c r="A85" t="s">
        <v>31</v>
      </c>
      <c r="B85" s="5">
        <v>45992</v>
      </c>
      <c r="C85">
        <v>23</v>
      </c>
    </row>
    <row r="86" spans="1:3" x14ac:dyDescent="0.3">
      <c r="A86" t="s">
        <v>33</v>
      </c>
      <c r="B86" s="5">
        <v>45658</v>
      </c>
      <c r="C86">
        <v>100</v>
      </c>
    </row>
    <row r="87" spans="1:3" x14ac:dyDescent="0.3">
      <c r="A87" t="s">
        <v>33</v>
      </c>
      <c r="B87" s="5">
        <v>45689</v>
      </c>
      <c r="C87">
        <v>105</v>
      </c>
    </row>
    <row r="88" spans="1:3" x14ac:dyDescent="0.3">
      <c r="A88" t="s">
        <v>33</v>
      </c>
      <c r="B88" s="5">
        <v>45717</v>
      </c>
      <c r="C88">
        <v>110</v>
      </c>
    </row>
    <row r="89" spans="1:3" x14ac:dyDescent="0.3">
      <c r="A89" t="s">
        <v>33</v>
      </c>
      <c r="B89" s="5">
        <v>45748</v>
      </c>
      <c r="C89">
        <v>115</v>
      </c>
    </row>
    <row r="90" spans="1:3" x14ac:dyDescent="0.3">
      <c r="A90" t="s">
        <v>33</v>
      </c>
      <c r="B90" s="5">
        <v>45778</v>
      </c>
      <c r="C90">
        <v>120</v>
      </c>
    </row>
    <row r="91" spans="1:3" x14ac:dyDescent="0.3">
      <c r="A91" t="s">
        <v>33</v>
      </c>
      <c r="B91" s="5">
        <v>45809</v>
      </c>
      <c r="C91">
        <v>125</v>
      </c>
    </row>
    <row r="92" spans="1:3" x14ac:dyDescent="0.3">
      <c r="A92" t="s">
        <v>33</v>
      </c>
      <c r="B92" s="5">
        <v>45839</v>
      </c>
      <c r="C92">
        <v>130</v>
      </c>
    </row>
    <row r="93" spans="1:3" x14ac:dyDescent="0.3">
      <c r="A93" t="s">
        <v>33</v>
      </c>
      <c r="B93" s="5">
        <v>45870</v>
      </c>
      <c r="C93">
        <v>135</v>
      </c>
    </row>
    <row r="94" spans="1:3" x14ac:dyDescent="0.3">
      <c r="A94" t="s">
        <v>33</v>
      </c>
      <c r="B94" s="5">
        <v>45901</v>
      </c>
      <c r="C94">
        <v>140</v>
      </c>
    </row>
    <row r="95" spans="1:3" x14ac:dyDescent="0.3">
      <c r="A95" t="s">
        <v>33</v>
      </c>
      <c r="B95" s="5">
        <v>45931</v>
      </c>
      <c r="C95">
        <v>145</v>
      </c>
    </row>
    <row r="96" spans="1:3" x14ac:dyDescent="0.3">
      <c r="A96" t="s">
        <v>33</v>
      </c>
      <c r="B96" s="5">
        <v>45962</v>
      </c>
      <c r="C96">
        <v>150</v>
      </c>
    </row>
    <row r="97" spans="1:3" x14ac:dyDescent="0.3">
      <c r="A97" t="s">
        <v>33</v>
      </c>
      <c r="B97" s="5">
        <v>45992</v>
      </c>
      <c r="C97">
        <v>155</v>
      </c>
    </row>
    <row r="98" spans="1:3" x14ac:dyDescent="0.3">
      <c r="A98" t="s">
        <v>37</v>
      </c>
      <c r="B98" s="5">
        <v>45658</v>
      </c>
      <c r="C98">
        <v>45</v>
      </c>
    </row>
    <row r="99" spans="1:3" x14ac:dyDescent="0.3">
      <c r="A99" t="s">
        <v>37</v>
      </c>
      <c r="B99" s="5">
        <v>45689</v>
      </c>
      <c r="C99">
        <v>48</v>
      </c>
    </row>
    <row r="100" spans="1:3" x14ac:dyDescent="0.3">
      <c r="A100" t="s">
        <v>37</v>
      </c>
      <c r="B100" s="5">
        <v>45717</v>
      </c>
      <c r="C100">
        <v>51</v>
      </c>
    </row>
    <row r="101" spans="1:3" x14ac:dyDescent="0.3">
      <c r="A101" t="s">
        <v>37</v>
      </c>
      <c r="B101" s="5">
        <v>45748</v>
      </c>
      <c r="C101">
        <v>54</v>
      </c>
    </row>
    <row r="102" spans="1:3" x14ac:dyDescent="0.3">
      <c r="A102" t="s">
        <v>37</v>
      </c>
      <c r="B102" s="5">
        <v>45778</v>
      </c>
      <c r="C102">
        <v>57</v>
      </c>
    </row>
    <row r="103" spans="1:3" x14ac:dyDescent="0.3">
      <c r="A103" t="s">
        <v>37</v>
      </c>
      <c r="B103" s="5">
        <v>45809</v>
      </c>
      <c r="C103">
        <v>60</v>
      </c>
    </row>
    <row r="104" spans="1:3" x14ac:dyDescent="0.3">
      <c r="A104" t="s">
        <v>37</v>
      </c>
      <c r="B104" s="5">
        <v>45839</v>
      </c>
      <c r="C104">
        <v>63</v>
      </c>
    </row>
    <row r="105" spans="1:3" x14ac:dyDescent="0.3">
      <c r="A105" t="s">
        <v>37</v>
      </c>
      <c r="B105" s="5">
        <v>45870</v>
      </c>
      <c r="C105">
        <v>66</v>
      </c>
    </row>
    <row r="106" spans="1:3" x14ac:dyDescent="0.3">
      <c r="A106" t="s">
        <v>37</v>
      </c>
      <c r="B106" s="5">
        <v>45901</v>
      </c>
      <c r="C106">
        <v>69</v>
      </c>
    </row>
    <row r="107" spans="1:3" x14ac:dyDescent="0.3">
      <c r="A107" t="s">
        <v>37</v>
      </c>
      <c r="B107" s="5">
        <v>45931</v>
      </c>
      <c r="C107">
        <v>72</v>
      </c>
    </row>
    <row r="108" spans="1:3" x14ac:dyDescent="0.3">
      <c r="A108" t="s">
        <v>37</v>
      </c>
      <c r="B108" s="5">
        <v>45962</v>
      </c>
      <c r="C108">
        <v>75</v>
      </c>
    </row>
    <row r="109" spans="1:3" x14ac:dyDescent="0.3">
      <c r="A109" t="s">
        <v>37</v>
      </c>
      <c r="B109" s="5">
        <v>45992</v>
      </c>
      <c r="C109">
        <v>78</v>
      </c>
    </row>
    <row r="110" spans="1:3" x14ac:dyDescent="0.3">
      <c r="A110" t="s">
        <v>39</v>
      </c>
      <c r="B110" s="5">
        <v>45658</v>
      </c>
      <c r="C110">
        <v>65</v>
      </c>
    </row>
    <row r="111" spans="1:3" x14ac:dyDescent="0.3">
      <c r="A111" t="s">
        <v>39</v>
      </c>
      <c r="B111" s="5">
        <v>45689</v>
      </c>
      <c r="C111">
        <v>70</v>
      </c>
    </row>
    <row r="112" spans="1:3" x14ac:dyDescent="0.3">
      <c r="A112" t="s">
        <v>39</v>
      </c>
      <c r="B112" s="5">
        <v>45717</v>
      </c>
      <c r="C112">
        <v>75</v>
      </c>
    </row>
    <row r="113" spans="1:3" x14ac:dyDescent="0.3">
      <c r="A113" t="s">
        <v>39</v>
      </c>
      <c r="B113" s="5">
        <v>45748</v>
      </c>
      <c r="C113">
        <v>80</v>
      </c>
    </row>
    <row r="114" spans="1:3" x14ac:dyDescent="0.3">
      <c r="A114" t="s">
        <v>39</v>
      </c>
      <c r="B114" s="5">
        <v>45778</v>
      </c>
      <c r="C114">
        <v>85</v>
      </c>
    </row>
    <row r="115" spans="1:3" x14ac:dyDescent="0.3">
      <c r="A115" t="s">
        <v>39</v>
      </c>
      <c r="B115" s="5">
        <v>45809</v>
      </c>
      <c r="C115">
        <v>90</v>
      </c>
    </row>
    <row r="116" spans="1:3" x14ac:dyDescent="0.3">
      <c r="A116" t="s">
        <v>39</v>
      </c>
      <c r="B116" s="5">
        <v>45839</v>
      </c>
      <c r="C116">
        <v>95</v>
      </c>
    </row>
    <row r="117" spans="1:3" x14ac:dyDescent="0.3">
      <c r="A117" t="s">
        <v>39</v>
      </c>
      <c r="B117" s="5">
        <v>45870</v>
      </c>
      <c r="C117">
        <v>100</v>
      </c>
    </row>
    <row r="118" spans="1:3" x14ac:dyDescent="0.3">
      <c r="A118" t="s">
        <v>39</v>
      </c>
      <c r="B118" s="5">
        <v>45901</v>
      </c>
      <c r="C118">
        <v>105</v>
      </c>
    </row>
    <row r="119" spans="1:3" x14ac:dyDescent="0.3">
      <c r="A119" t="s">
        <v>39</v>
      </c>
      <c r="B119" s="5">
        <v>45931</v>
      </c>
      <c r="C119">
        <v>110</v>
      </c>
    </row>
    <row r="120" spans="1:3" x14ac:dyDescent="0.3">
      <c r="A120" t="s">
        <v>39</v>
      </c>
      <c r="B120" s="5">
        <v>45962</v>
      </c>
      <c r="C120">
        <v>115</v>
      </c>
    </row>
    <row r="121" spans="1:3" x14ac:dyDescent="0.3">
      <c r="A121" t="s">
        <v>39</v>
      </c>
      <c r="B121" s="5">
        <v>45992</v>
      </c>
      <c r="C121">
        <v>120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57BD-2094-4C6A-9E74-EBA62FB01CB0}">
  <dimension ref="A1:E366"/>
  <sheetViews>
    <sheetView workbookViewId="0">
      <selection activeCell="B4" sqref="B4"/>
    </sheetView>
  </sheetViews>
  <sheetFormatPr defaultRowHeight="14.4" x14ac:dyDescent="0.3"/>
  <cols>
    <col min="1" max="1" width="13.44140625" customWidth="1"/>
    <col min="2" max="2" width="6.88671875" bestFit="1" customWidth="1"/>
    <col min="3" max="3" width="9" bestFit="1" customWidth="1"/>
    <col min="4" max="4" width="16.44140625" bestFit="1" customWidth="1"/>
    <col min="5" max="5" width="13.109375" bestFit="1" customWidth="1"/>
  </cols>
  <sheetData>
    <row r="1" spans="1:5" x14ac:dyDescent="0.3">
      <c r="A1" t="s">
        <v>297</v>
      </c>
      <c r="B1" t="s">
        <v>298</v>
      </c>
      <c r="C1" t="s">
        <v>299</v>
      </c>
      <c r="D1" t="s">
        <v>300</v>
      </c>
      <c r="E1" t="s">
        <v>301</v>
      </c>
    </row>
    <row r="2" spans="1:5" x14ac:dyDescent="0.3">
      <c r="A2" s="5">
        <v>45658</v>
      </c>
      <c r="B2">
        <v>2025</v>
      </c>
      <c r="C2" t="s">
        <v>302</v>
      </c>
      <c r="D2">
        <v>1</v>
      </c>
      <c r="E2" s="6">
        <v>45658</v>
      </c>
    </row>
    <row r="3" spans="1:5" x14ac:dyDescent="0.3">
      <c r="A3" s="5">
        <v>45659</v>
      </c>
      <c r="B3">
        <v>2025</v>
      </c>
      <c r="C3" t="s">
        <v>302</v>
      </c>
      <c r="D3">
        <v>1</v>
      </c>
      <c r="E3" s="6">
        <v>45658</v>
      </c>
    </row>
    <row r="4" spans="1:5" x14ac:dyDescent="0.3">
      <c r="A4" s="5">
        <v>45660</v>
      </c>
      <c r="B4">
        <v>2025</v>
      </c>
      <c r="C4" t="s">
        <v>302</v>
      </c>
      <c r="D4">
        <v>1</v>
      </c>
      <c r="E4" s="6">
        <v>45658</v>
      </c>
    </row>
    <row r="5" spans="1:5" x14ac:dyDescent="0.3">
      <c r="A5" s="5">
        <v>45661</v>
      </c>
      <c r="B5">
        <v>2025</v>
      </c>
      <c r="C5" t="s">
        <v>302</v>
      </c>
      <c r="D5">
        <v>1</v>
      </c>
      <c r="E5" s="6">
        <v>45658</v>
      </c>
    </row>
    <row r="6" spans="1:5" x14ac:dyDescent="0.3">
      <c r="A6" s="5">
        <v>45662</v>
      </c>
      <c r="B6">
        <v>2025</v>
      </c>
      <c r="C6" t="s">
        <v>302</v>
      </c>
      <c r="D6">
        <v>1</v>
      </c>
      <c r="E6" s="6">
        <v>45658</v>
      </c>
    </row>
    <row r="7" spans="1:5" x14ac:dyDescent="0.3">
      <c r="A7" s="5">
        <v>45663</v>
      </c>
      <c r="B7">
        <v>2025</v>
      </c>
      <c r="C7" t="s">
        <v>302</v>
      </c>
      <c r="D7">
        <v>1</v>
      </c>
      <c r="E7" s="6">
        <v>45658</v>
      </c>
    </row>
    <row r="8" spans="1:5" x14ac:dyDescent="0.3">
      <c r="A8" s="5">
        <v>45664</v>
      </c>
      <c r="B8">
        <v>2025</v>
      </c>
      <c r="C8" t="s">
        <v>302</v>
      </c>
      <c r="D8">
        <v>1</v>
      </c>
      <c r="E8" s="6">
        <v>45658</v>
      </c>
    </row>
    <row r="9" spans="1:5" x14ac:dyDescent="0.3">
      <c r="A9" s="5">
        <v>45665</v>
      </c>
      <c r="B9">
        <v>2025</v>
      </c>
      <c r="C9" t="s">
        <v>302</v>
      </c>
      <c r="D9">
        <v>1</v>
      </c>
      <c r="E9" s="6">
        <v>45658</v>
      </c>
    </row>
    <row r="10" spans="1:5" x14ac:dyDescent="0.3">
      <c r="A10" s="5">
        <v>45666</v>
      </c>
      <c r="B10">
        <v>2025</v>
      </c>
      <c r="C10" t="s">
        <v>302</v>
      </c>
      <c r="D10">
        <v>1</v>
      </c>
      <c r="E10" s="6">
        <v>45658</v>
      </c>
    </row>
    <row r="11" spans="1:5" x14ac:dyDescent="0.3">
      <c r="A11" s="5">
        <v>45667</v>
      </c>
      <c r="B11">
        <v>2025</v>
      </c>
      <c r="C11" t="s">
        <v>302</v>
      </c>
      <c r="D11">
        <v>1</v>
      </c>
      <c r="E11" s="6">
        <v>45658</v>
      </c>
    </row>
    <row r="12" spans="1:5" x14ac:dyDescent="0.3">
      <c r="A12" s="5">
        <v>45668</v>
      </c>
      <c r="B12">
        <v>2025</v>
      </c>
      <c r="C12" t="s">
        <v>302</v>
      </c>
      <c r="D12">
        <v>1</v>
      </c>
      <c r="E12" s="6">
        <v>45658</v>
      </c>
    </row>
    <row r="13" spans="1:5" x14ac:dyDescent="0.3">
      <c r="A13" s="5">
        <v>45669</v>
      </c>
      <c r="B13">
        <v>2025</v>
      </c>
      <c r="C13" t="s">
        <v>302</v>
      </c>
      <c r="D13">
        <v>1</v>
      </c>
      <c r="E13" s="6">
        <v>45658</v>
      </c>
    </row>
    <row r="14" spans="1:5" x14ac:dyDescent="0.3">
      <c r="A14" s="5">
        <v>45670</v>
      </c>
      <c r="B14">
        <v>2025</v>
      </c>
      <c r="C14" t="s">
        <v>302</v>
      </c>
      <c r="D14">
        <v>1</v>
      </c>
      <c r="E14" s="6">
        <v>45658</v>
      </c>
    </row>
    <row r="15" spans="1:5" x14ac:dyDescent="0.3">
      <c r="A15" s="5">
        <v>45671</v>
      </c>
      <c r="B15">
        <v>2025</v>
      </c>
      <c r="C15" t="s">
        <v>302</v>
      </c>
      <c r="D15">
        <v>1</v>
      </c>
      <c r="E15" s="6">
        <v>45658</v>
      </c>
    </row>
    <row r="16" spans="1:5" x14ac:dyDescent="0.3">
      <c r="A16" s="5">
        <v>45672</v>
      </c>
      <c r="B16">
        <v>2025</v>
      </c>
      <c r="C16" t="s">
        <v>302</v>
      </c>
      <c r="D16">
        <v>1</v>
      </c>
      <c r="E16" s="6">
        <v>45658</v>
      </c>
    </row>
    <row r="17" spans="1:5" x14ac:dyDescent="0.3">
      <c r="A17" s="5">
        <v>45673</v>
      </c>
      <c r="B17">
        <v>2025</v>
      </c>
      <c r="C17" t="s">
        <v>302</v>
      </c>
      <c r="D17">
        <v>1</v>
      </c>
      <c r="E17" s="6">
        <v>45658</v>
      </c>
    </row>
    <row r="18" spans="1:5" x14ac:dyDescent="0.3">
      <c r="A18" s="5">
        <v>45674</v>
      </c>
      <c r="B18">
        <v>2025</v>
      </c>
      <c r="C18" t="s">
        <v>302</v>
      </c>
      <c r="D18">
        <v>1</v>
      </c>
      <c r="E18" s="6">
        <v>45658</v>
      </c>
    </row>
    <row r="19" spans="1:5" x14ac:dyDescent="0.3">
      <c r="A19" s="5">
        <v>45675</v>
      </c>
      <c r="B19">
        <v>2025</v>
      </c>
      <c r="C19" t="s">
        <v>302</v>
      </c>
      <c r="D19">
        <v>1</v>
      </c>
      <c r="E19" s="6">
        <v>45658</v>
      </c>
    </row>
    <row r="20" spans="1:5" x14ac:dyDescent="0.3">
      <c r="A20" s="5">
        <v>45676</v>
      </c>
      <c r="B20">
        <v>2025</v>
      </c>
      <c r="C20" t="s">
        <v>302</v>
      </c>
      <c r="D20">
        <v>1</v>
      </c>
      <c r="E20" s="6">
        <v>45658</v>
      </c>
    </row>
    <row r="21" spans="1:5" x14ac:dyDescent="0.3">
      <c r="A21" s="5">
        <v>45677</v>
      </c>
      <c r="B21">
        <v>2025</v>
      </c>
      <c r="C21" t="s">
        <v>302</v>
      </c>
      <c r="D21">
        <v>1</v>
      </c>
      <c r="E21" s="6">
        <v>45658</v>
      </c>
    </row>
    <row r="22" spans="1:5" x14ac:dyDescent="0.3">
      <c r="A22" s="5">
        <v>45678</v>
      </c>
      <c r="B22">
        <v>2025</v>
      </c>
      <c r="C22" t="s">
        <v>302</v>
      </c>
      <c r="D22">
        <v>1</v>
      </c>
      <c r="E22" s="6">
        <v>45658</v>
      </c>
    </row>
    <row r="23" spans="1:5" x14ac:dyDescent="0.3">
      <c r="A23" s="5">
        <v>45679</v>
      </c>
      <c r="B23">
        <v>2025</v>
      </c>
      <c r="C23" t="s">
        <v>302</v>
      </c>
      <c r="D23">
        <v>1</v>
      </c>
      <c r="E23" s="6">
        <v>45658</v>
      </c>
    </row>
    <row r="24" spans="1:5" x14ac:dyDescent="0.3">
      <c r="A24" s="5">
        <v>45680</v>
      </c>
      <c r="B24">
        <v>2025</v>
      </c>
      <c r="C24" t="s">
        <v>302</v>
      </c>
      <c r="D24">
        <v>1</v>
      </c>
      <c r="E24" s="6">
        <v>45658</v>
      </c>
    </row>
    <row r="25" spans="1:5" x14ac:dyDescent="0.3">
      <c r="A25" s="5">
        <v>45681</v>
      </c>
      <c r="B25">
        <v>2025</v>
      </c>
      <c r="C25" t="s">
        <v>302</v>
      </c>
      <c r="D25">
        <v>1</v>
      </c>
      <c r="E25" s="6">
        <v>45658</v>
      </c>
    </row>
    <row r="26" spans="1:5" x14ac:dyDescent="0.3">
      <c r="A26" s="5">
        <v>45682</v>
      </c>
      <c r="B26">
        <v>2025</v>
      </c>
      <c r="C26" t="s">
        <v>302</v>
      </c>
      <c r="D26">
        <v>1</v>
      </c>
      <c r="E26" s="6">
        <v>45658</v>
      </c>
    </row>
    <row r="27" spans="1:5" x14ac:dyDescent="0.3">
      <c r="A27" s="5">
        <v>45683</v>
      </c>
      <c r="B27">
        <v>2025</v>
      </c>
      <c r="C27" t="s">
        <v>302</v>
      </c>
      <c r="D27">
        <v>1</v>
      </c>
      <c r="E27" s="6">
        <v>45658</v>
      </c>
    </row>
    <row r="28" spans="1:5" x14ac:dyDescent="0.3">
      <c r="A28" s="5">
        <v>45684</v>
      </c>
      <c r="B28">
        <v>2025</v>
      </c>
      <c r="C28" t="s">
        <v>302</v>
      </c>
      <c r="D28">
        <v>1</v>
      </c>
      <c r="E28" s="6">
        <v>45658</v>
      </c>
    </row>
    <row r="29" spans="1:5" x14ac:dyDescent="0.3">
      <c r="A29" s="5">
        <v>45685</v>
      </c>
      <c r="B29">
        <v>2025</v>
      </c>
      <c r="C29" t="s">
        <v>302</v>
      </c>
      <c r="D29">
        <v>1</v>
      </c>
      <c r="E29" s="6">
        <v>45658</v>
      </c>
    </row>
    <row r="30" spans="1:5" x14ac:dyDescent="0.3">
      <c r="A30" s="5">
        <v>45686</v>
      </c>
      <c r="B30">
        <v>2025</v>
      </c>
      <c r="C30" t="s">
        <v>302</v>
      </c>
      <c r="D30">
        <v>1</v>
      </c>
      <c r="E30" s="6">
        <v>45658</v>
      </c>
    </row>
    <row r="31" spans="1:5" x14ac:dyDescent="0.3">
      <c r="A31" s="5">
        <v>45687</v>
      </c>
      <c r="B31">
        <v>2025</v>
      </c>
      <c r="C31" t="s">
        <v>302</v>
      </c>
      <c r="D31">
        <v>1</v>
      </c>
      <c r="E31" s="6">
        <v>45658</v>
      </c>
    </row>
    <row r="32" spans="1:5" x14ac:dyDescent="0.3">
      <c r="A32" s="5">
        <v>45688</v>
      </c>
      <c r="B32">
        <v>2025</v>
      </c>
      <c r="C32" t="s">
        <v>302</v>
      </c>
      <c r="D32">
        <v>1</v>
      </c>
      <c r="E32" s="6">
        <v>45658</v>
      </c>
    </row>
    <row r="33" spans="1:5" x14ac:dyDescent="0.3">
      <c r="A33" s="5">
        <v>45689</v>
      </c>
      <c r="B33">
        <v>2025</v>
      </c>
      <c r="C33" t="s">
        <v>303</v>
      </c>
      <c r="D33">
        <v>2</v>
      </c>
      <c r="E33" s="6">
        <v>45689</v>
      </c>
    </row>
    <row r="34" spans="1:5" x14ac:dyDescent="0.3">
      <c r="A34" s="5">
        <v>45690</v>
      </c>
      <c r="B34">
        <v>2025</v>
      </c>
      <c r="C34" t="s">
        <v>303</v>
      </c>
      <c r="D34">
        <v>2</v>
      </c>
      <c r="E34" s="6">
        <v>45689</v>
      </c>
    </row>
    <row r="35" spans="1:5" x14ac:dyDescent="0.3">
      <c r="A35" s="5">
        <v>45691</v>
      </c>
      <c r="B35">
        <v>2025</v>
      </c>
      <c r="C35" t="s">
        <v>303</v>
      </c>
      <c r="D35">
        <v>2</v>
      </c>
      <c r="E35" s="6">
        <v>45689</v>
      </c>
    </row>
    <row r="36" spans="1:5" x14ac:dyDescent="0.3">
      <c r="A36" s="5">
        <v>45692</v>
      </c>
      <c r="B36">
        <v>2025</v>
      </c>
      <c r="C36" t="s">
        <v>303</v>
      </c>
      <c r="D36">
        <v>2</v>
      </c>
      <c r="E36" s="6">
        <v>45689</v>
      </c>
    </row>
    <row r="37" spans="1:5" x14ac:dyDescent="0.3">
      <c r="A37" s="5">
        <v>45693</v>
      </c>
      <c r="B37">
        <v>2025</v>
      </c>
      <c r="C37" t="s">
        <v>303</v>
      </c>
      <c r="D37">
        <v>2</v>
      </c>
      <c r="E37" s="6">
        <v>45689</v>
      </c>
    </row>
    <row r="38" spans="1:5" x14ac:dyDescent="0.3">
      <c r="A38" s="5">
        <v>45694</v>
      </c>
      <c r="B38">
        <v>2025</v>
      </c>
      <c r="C38" t="s">
        <v>303</v>
      </c>
      <c r="D38">
        <v>2</v>
      </c>
      <c r="E38" s="6">
        <v>45689</v>
      </c>
    </row>
    <row r="39" spans="1:5" x14ac:dyDescent="0.3">
      <c r="A39" s="5">
        <v>45695</v>
      </c>
      <c r="B39">
        <v>2025</v>
      </c>
      <c r="C39" t="s">
        <v>303</v>
      </c>
      <c r="D39">
        <v>2</v>
      </c>
      <c r="E39" s="6">
        <v>45689</v>
      </c>
    </row>
    <row r="40" spans="1:5" x14ac:dyDescent="0.3">
      <c r="A40" s="5">
        <v>45696</v>
      </c>
      <c r="B40">
        <v>2025</v>
      </c>
      <c r="C40" t="s">
        <v>303</v>
      </c>
      <c r="D40">
        <v>2</v>
      </c>
      <c r="E40" s="6">
        <v>45689</v>
      </c>
    </row>
    <row r="41" spans="1:5" x14ac:dyDescent="0.3">
      <c r="A41" s="5">
        <v>45697</v>
      </c>
      <c r="B41">
        <v>2025</v>
      </c>
      <c r="C41" t="s">
        <v>303</v>
      </c>
      <c r="D41">
        <v>2</v>
      </c>
      <c r="E41" s="6">
        <v>45689</v>
      </c>
    </row>
    <row r="42" spans="1:5" x14ac:dyDescent="0.3">
      <c r="A42" s="5">
        <v>45698</v>
      </c>
      <c r="B42">
        <v>2025</v>
      </c>
      <c r="C42" t="s">
        <v>303</v>
      </c>
      <c r="D42">
        <v>2</v>
      </c>
      <c r="E42" s="6">
        <v>45689</v>
      </c>
    </row>
    <row r="43" spans="1:5" x14ac:dyDescent="0.3">
      <c r="A43" s="5">
        <v>45699</v>
      </c>
      <c r="B43">
        <v>2025</v>
      </c>
      <c r="C43" t="s">
        <v>303</v>
      </c>
      <c r="D43">
        <v>2</v>
      </c>
      <c r="E43" s="6">
        <v>45689</v>
      </c>
    </row>
    <row r="44" spans="1:5" x14ac:dyDescent="0.3">
      <c r="A44" s="5">
        <v>45700</v>
      </c>
      <c r="B44">
        <v>2025</v>
      </c>
      <c r="C44" t="s">
        <v>303</v>
      </c>
      <c r="D44">
        <v>2</v>
      </c>
      <c r="E44" s="6">
        <v>45689</v>
      </c>
    </row>
    <row r="45" spans="1:5" x14ac:dyDescent="0.3">
      <c r="A45" s="5">
        <v>45701</v>
      </c>
      <c r="B45">
        <v>2025</v>
      </c>
      <c r="C45" t="s">
        <v>303</v>
      </c>
      <c r="D45">
        <v>2</v>
      </c>
      <c r="E45" s="6">
        <v>45689</v>
      </c>
    </row>
    <row r="46" spans="1:5" x14ac:dyDescent="0.3">
      <c r="A46" s="5">
        <v>45702</v>
      </c>
      <c r="B46">
        <v>2025</v>
      </c>
      <c r="C46" t="s">
        <v>303</v>
      </c>
      <c r="D46">
        <v>2</v>
      </c>
      <c r="E46" s="6">
        <v>45689</v>
      </c>
    </row>
    <row r="47" spans="1:5" x14ac:dyDescent="0.3">
      <c r="A47" s="5">
        <v>45703</v>
      </c>
      <c r="B47">
        <v>2025</v>
      </c>
      <c r="C47" t="s">
        <v>303</v>
      </c>
      <c r="D47">
        <v>2</v>
      </c>
      <c r="E47" s="6">
        <v>45689</v>
      </c>
    </row>
    <row r="48" spans="1:5" x14ac:dyDescent="0.3">
      <c r="A48" s="5">
        <v>45704</v>
      </c>
      <c r="B48">
        <v>2025</v>
      </c>
      <c r="C48" t="s">
        <v>303</v>
      </c>
      <c r="D48">
        <v>2</v>
      </c>
      <c r="E48" s="6">
        <v>45689</v>
      </c>
    </row>
    <row r="49" spans="1:5" x14ac:dyDescent="0.3">
      <c r="A49" s="5">
        <v>45705</v>
      </c>
      <c r="B49">
        <v>2025</v>
      </c>
      <c r="C49" t="s">
        <v>303</v>
      </c>
      <c r="D49">
        <v>2</v>
      </c>
      <c r="E49" s="6">
        <v>45689</v>
      </c>
    </row>
    <row r="50" spans="1:5" x14ac:dyDescent="0.3">
      <c r="A50" s="5">
        <v>45706</v>
      </c>
      <c r="B50">
        <v>2025</v>
      </c>
      <c r="C50" t="s">
        <v>303</v>
      </c>
      <c r="D50">
        <v>2</v>
      </c>
      <c r="E50" s="6">
        <v>45689</v>
      </c>
    </row>
    <row r="51" spans="1:5" x14ac:dyDescent="0.3">
      <c r="A51" s="5">
        <v>45707</v>
      </c>
      <c r="B51">
        <v>2025</v>
      </c>
      <c r="C51" t="s">
        <v>303</v>
      </c>
      <c r="D51">
        <v>2</v>
      </c>
      <c r="E51" s="6">
        <v>45689</v>
      </c>
    </row>
    <row r="52" spans="1:5" x14ac:dyDescent="0.3">
      <c r="A52" s="5">
        <v>45708</v>
      </c>
      <c r="B52">
        <v>2025</v>
      </c>
      <c r="C52" t="s">
        <v>303</v>
      </c>
      <c r="D52">
        <v>2</v>
      </c>
      <c r="E52" s="6">
        <v>45689</v>
      </c>
    </row>
    <row r="53" spans="1:5" x14ac:dyDescent="0.3">
      <c r="A53" s="5">
        <v>45709</v>
      </c>
      <c r="B53">
        <v>2025</v>
      </c>
      <c r="C53" t="s">
        <v>303</v>
      </c>
      <c r="D53">
        <v>2</v>
      </c>
      <c r="E53" s="6">
        <v>45689</v>
      </c>
    </row>
    <row r="54" spans="1:5" x14ac:dyDescent="0.3">
      <c r="A54" s="5">
        <v>45710</v>
      </c>
      <c r="B54">
        <v>2025</v>
      </c>
      <c r="C54" t="s">
        <v>303</v>
      </c>
      <c r="D54">
        <v>2</v>
      </c>
      <c r="E54" s="6">
        <v>45689</v>
      </c>
    </row>
    <row r="55" spans="1:5" x14ac:dyDescent="0.3">
      <c r="A55" s="5">
        <v>45711</v>
      </c>
      <c r="B55">
        <v>2025</v>
      </c>
      <c r="C55" t="s">
        <v>303</v>
      </c>
      <c r="D55">
        <v>2</v>
      </c>
      <c r="E55" s="6">
        <v>45689</v>
      </c>
    </row>
    <row r="56" spans="1:5" x14ac:dyDescent="0.3">
      <c r="A56" s="5">
        <v>45712</v>
      </c>
      <c r="B56">
        <v>2025</v>
      </c>
      <c r="C56" t="s">
        <v>303</v>
      </c>
      <c r="D56">
        <v>2</v>
      </c>
      <c r="E56" s="6">
        <v>45689</v>
      </c>
    </row>
    <row r="57" spans="1:5" x14ac:dyDescent="0.3">
      <c r="A57" s="5">
        <v>45713</v>
      </c>
      <c r="B57">
        <v>2025</v>
      </c>
      <c r="C57" t="s">
        <v>303</v>
      </c>
      <c r="D57">
        <v>2</v>
      </c>
      <c r="E57" s="6">
        <v>45689</v>
      </c>
    </row>
    <row r="58" spans="1:5" x14ac:dyDescent="0.3">
      <c r="A58" s="5">
        <v>45714</v>
      </c>
      <c r="B58">
        <v>2025</v>
      </c>
      <c r="C58" t="s">
        <v>303</v>
      </c>
      <c r="D58">
        <v>2</v>
      </c>
      <c r="E58" s="6">
        <v>45689</v>
      </c>
    </row>
    <row r="59" spans="1:5" x14ac:dyDescent="0.3">
      <c r="A59" s="5">
        <v>45715</v>
      </c>
      <c r="B59">
        <v>2025</v>
      </c>
      <c r="C59" t="s">
        <v>303</v>
      </c>
      <c r="D59">
        <v>2</v>
      </c>
      <c r="E59" s="6">
        <v>45689</v>
      </c>
    </row>
    <row r="60" spans="1:5" x14ac:dyDescent="0.3">
      <c r="A60" s="5">
        <v>45716</v>
      </c>
      <c r="B60">
        <v>2025</v>
      </c>
      <c r="C60" t="s">
        <v>303</v>
      </c>
      <c r="D60">
        <v>2</v>
      </c>
      <c r="E60" s="6">
        <v>45689</v>
      </c>
    </row>
    <row r="61" spans="1:5" x14ac:dyDescent="0.3">
      <c r="A61" s="5">
        <v>45717</v>
      </c>
      <c r="B61">
        <v>2025</v>
      </c>
      <c r="C61" t="s">
        <v>304</v>
      </c>
      <c r="D61">
        <v>3</v>
      </c>
      <c r="E61" s="6">
        <v>45717</v>
      </c>
    </row>
    <row r="62" spans="1:5" x14ac:dyDescent="0.3">
      <c r="A62" s="5">
        <v>45718</v>
      </c>
      <c r="B62">
        <v>2025</v>
      </c>
      <c r="C62" t="s">
        <v>304</v>
      </c>
      <c r="D62">
        <v>3</v>
      </c>
      <c r="E62" s="6">
        <v>45717</v>
      </c>
    </row>
    <row r="63" spans="1:5" x14ac:dyDescent="0.3">
      <c r="A63" s="5">
        <v>45719</v>
      </c>
      <c r="B63">
        <v>2025</v>
      </c>
      <c r="C63" t="s">
        <v>304</v>
      </c>
      <c r="D63">
        <v>3</v>
      </c>
      <c r="E63" s="6">
        <v>45717</v>
      </c>
    </row>
    <row r="64" spans="1:5" x14ac:dyDescent="0.3">
      <c r="A64" s="5">
        <v>45720</v>
      </c>
      <c r="B64">
        <v>2025</v>
      </c>
      <c r="C64" t="s">
        <v>304</v>
      </c>
      <c r="D64">
        <v>3</v>
      </c>
      <c r="E64" s="6">
        <v>45717</v>
      </c>
    </row>
    <row r="65" spans="1:5" x14ac:dyDescent="0.3">
      <c r="A65" s="5">
        <v>45721</v>
      </c>
      <c r="B65">
        <v>2025</v>
      </c>
      <c r="C65" t="s">
        <v>304</v>
      </c>
      <c r="D65">
        <v>3</v>
      </c>
      <c r="E65" s="6">
        <v>45717</v>
      </c>
    </row>
    <row r="66" spans="1:5" x14ac:dyDescent="0.3">
      <c r="A66" s="5">
        <v>45722</v>
      </c>
      <c r="B66">
        <v>2025</v>
      </c>
      <c r="C66" t="s">
        <v>304</v>
      </c>
      <c r="D66">
        <v>3</v>
      </c>
      <c r="E66" s="6">
        <v>45717</v>
      </c>
    </row>
    <row r="67" spans="1:5" x14ac:dyDescent="0.3">
      <c r="A67" s="5">
        <v>45723</v>
      </c>
      <c r="B67">
        <v>2025</v>
      </c>
      <c r="C67" t="s">
        <v>304</v>
      </c>
      <c r="D67">
        <v>3</v>
      </c>
      <c r="E67" s="6">
        <v>45717</v>
      </c>
    </row>
    <row r="68" spans="1:5" x14ac:dyDescent="0.3">
      <c r="A68" s="5">
        <v>45724</v>
      </c>
      <c r="B68">
        <v>2025</v>
      </c>
      <c r="C68" t="s">
        <v>304</v>
      </c>
      <c r="D68">
        <v>3</v>
      </c>
      <c r="E68" s="6">
        <v>45717</v>
      </c>
    </row>
    <row r="69" spans="1:5" x14ac:dyDescent="0.3">
      <c r="A69" s="5">
        <v>45725</v>
      </c>
      <c r="B69">
        <v>2025</v>
      </c>
      <c r="C69" t="s">
        <v>304</v>
      </c>
      <c r="D69">
        <v>3</v>
      </c>
      <c r="E69" s="6">
        <v>45717</v>
      </c>
    </row>
    <row r="70" spans="1:5" x14ac:dyDescent="0.3">
      <c r="A70" s="5">
        <v>45726</v>
      </c>
      <c r="B70">
        <v>2025</v>
      </c>
      <c r="C70" t="s">
        <v>304</v>
      </c>
      <c r="D70">
        <v>3</v>
      </c>
      <c r="E70" s="6">
        <v>45717</v>
      </c>
    </row>
    <row r="71" spans="1:5" x14ac:dyDescent="0.3">
      <c r="A71" s="5">
        <v>45727</v>
      </c>
      <c r="B71">
        <v>2025</v>
      </c>
      <c r="C71" t="s">
        <v>304</v>
      </c>
      <c r="D71">
        <v>3</v>
      </c>
      <c r="E71" s="6">
        <v>45717</v>
      </c>
    </row>
    <row r="72" spans="1:5" x14ac:dyDescent="0.3">
      <c r="A72" s="5">
        <v>45728</v>
      </c>
      <c r="B72">
        <v>2025</v>
      </c>
      <c r="C72" t="s">
        <v>304</v>
      </c>
      <c r="D72">
        <v>3</v>
      </c>
      <c r="E72" s="6">
        <v>45717</v>
      </c>
    </row>
    <row r="73" spans="1:5" x14ac:dyDescent="0.3">
      <c r="A73" s="5">
        <v>45729</v>
      </c>
      <c r="B73">
        <v>2025</v>
      </c>
      <c r="C73" t="s">
        <v>304</v>
      </c>
      <c r="D73">
        <v>3</v>
      </c>
      <c r="E73" s="6">
        <v>45717</v>
      </c>
    </row>
    <row r="74" spans="1:5" x14ac:dyDescent="0.3">
      <c r="A74" s="5">
        <v>45730</v>
      </c>
      <c r="B74">
        <v>2025</v>
      </c>
      <c r="C74" t="s">
        <v>304</v>
      </c>
      <c r="D74">
        <v>3</v>
      </c>
      <c r="E74" s="6">
        <v>45717</v>
      </c>
    </row>
    <row r="75" spans="1:5" x14ac:dyDescent="0.3">
      <c r="A75" s="5">
        <v>45731</v>
      </c>
      <c r="B75">
        <v>2025</v>
      </c>
      <c r="C75" t="s">
        <v>304</v>
      </c>
      <c r="D75">
        <v>3</v>
      </c>
      <c r="E75" s="6">
        <v>45717</v>
      </c>
    </row>
    <row r="76" spans="1:5" x14ac:dyDescent="0.3">
      <c r="A76" s="5">
        <v>45732</v>
      </c>
      <c r="B76">
        <v>2025</v>
      </c>
      <c r="C76" t="s">
        <v>304</v>
      </c>
      <c r="D76">
        <v>3</v>
      </c>
      <c r="E76" s="6">
        <v>45717</v>
      </c>
    </row>
    <row r="77" spans="1:5" x14ac:dyDescent="0.3">
      <c r="A77" s="5">
        <v>45733</v>
      </c>
      <c r="B77">
        <v>2025</v>
      </c>
      <c r="C77" t="s">
        <v>304</v>
      </c>
      <c r="D77">
        <v>3</v>
      </c>
      <c r="E77" s="6">
        <v>45717</v>
      </c>
    </row>
    <row r="78" spans="1:5" x14ac:dyDescent="0.3">
      <c r="A78" s="5">
        <v>45734</v>
      </c>
      <c r="B78">
        <v>2025</v>
      </c>
      <c r="C78" t="s">
        <v>304</v>
      </c>
      <c r="D78">
        <v>3</v>
      </c>
      <c r="E78" s="6">
        <v>45717</v>
      </c>
    </row>
    <row r="79" spans="1:5" x14ac:dyDescent="0.3">
      <c r="A79" s="5">
        <v>45735</v>
      </c>
      <c r="B79">
        <v>2025</v>
      </c>
      <c r="C79" t="s">
        <v>304</v>
      </c>
      <c r="D79">
        <v>3</v>
      </c>
      <c r="E79" s="6">
        <v>45717</v>
      </c>
    </row>
    <row r="80" spans="1:5" x14ac:dyDescent="0.3">
      <c r="A80" s="5">
        <v>45736</v>
      </c>
      <c r="B80">
        <v>2025</v>
      </c>
      <c r="C80" t="s">
        <v>304</v>
      </c>
      <c r="D80">
        <v>3</v>
      </c>
      <c r="E80" s="6">
        <v>45717</v>
      </c>
    </row>
    <row r="81" spans="1:5" x14ac:dyDescent="0.3">
      <c r="A81" s="5">
        <v>45737</v>
      </c>
      <c r="B81">
        <v>2025</v>
      </c>
      <c r="C81" t="s">
        <v>304</v>
      </c>
      <c r="D81">
        <v>3</v>
      </c>
      <c r="E81" s="6">
        <v>45717</v>
      </c>
    </row>
    <row r="82" spans="1:5" x14ac:dyDescent="0.3">
      <c r="A82" s="5">
        <v>45738</v>
      </c>
      <c r="B82">
        <v>2025</v>
      </c>
      <c r="C82" t="s">
        <v>304</v>
      </c>
      <c r="D82">
        <v>3</v>
      </c>
      <c r="E82" s="6">
        <v>45717</v>
      </c>
    </row>
    <row r="83" spans="1:5" x14ac:dyDescent="0.3">
      <c r="A83" s="5">
        <v>45739</v>
      </c>
      <c r="B83">
        <v>2025</v>
      </c>
      <c r="C83" t="s">
        <v>304</v>
      </c>
      <c r="D83">
        <v>3</v>
      </c>
      <c r="E83" s="6">
        <v>45717</v>
      </c>
    </row>
    <row r="84" spans="1:5" x14ac:dyDescent="0.3">
      <c r="A84" s="5">
        <v>45740</v>
      </c>
      <c r="B84">
        <v>2025</v>
      </c>
      <c r="C84" t="s">
        <v>304</v>
      </c>
      <c r="D84">
        <v>3</v>
      </c>
      <c r="E84" s="6">
        <v>45717</v>
      </c>
    </row>
    <row r="85" spans="1:5" x14ac:dyDescent="0.3">
      <c r="A85" s="5">
        <v>45741</v>
      </c>
      <c r="B85">
        <v>2025</v>
      </c>
      <c r="C85" t="s">
        <v>304</v>
      </c>
      <c r="D85">
        <v>3</v>
      </c>
      <c r="E85" s="6">
        <v>45717</v>
      </c>
    </row>
    <row r="86" spans="1:5" x14ac:dyDescent="0.3">
      <c r="A86" s="5">
        <v>45742</v>
      </c>
      <c r="B86">
        <v>2025</v>
      </c>
      <c r="C86" t="s">
        <v>304</v>
      </c>
      <c r="D86">
        <v>3</v>
      </c>
      <c r="E86" s="6">
        <v>45717</v>
      </c>
    </row>
    <row r="87" spans="1:5" x14ac:dyDescent="0.3">
      <c r="A87" s="5">
        <v>45743</v>
      </c>
      <c r="B87">
        <v>2025</v>
      </c>
      <c r="C87" t="s">
        <v>304</v>
      </c>
      <c r="D87">
        <v>3</v>
      </c>
      <c r="E87" s="6">
        <v>45717</v>
      </c>
    </row>
    <row r="88" spans="1:5" x14ac:dyDescent="0.3">
      <c r="A88" s="5">
        <v>45744</v>
      </c>
      <c r="B88">
        <v>2025</v>
      </c>
      <c r="C88" t="s">
        <v>304</v>
      </c>
      <c r="D88">
        <v>3</v>
      </c>
      <c r="E88" s="6">
        <v>45717</v>
      </c>
    </row>
    <row r="89" spans="1:5" x14ac:dyDescent="0.3">
      <c r="A89" s="5">
        <v>45745</v>
      </c>
      <c r="B89">
        <v>2025</v>
      </c>
      <c r="C89" t="s">
        <v>304</v>
      </c>
      <c r="D89">
        <v>3</v>
      </c>
      <c r="E89" s="6">
        <v>45717</v>
      </c>
    </row>
    <row r="90" spans="1:5" x14ac:dyDescent="0.3">
      <c r="A90" s="5">
        <v>45746</v>
      </c>
      <c r="B90">
        <v>2025</v>
      </c>
      <c r="C90" t="s">
        <v>304</v>
      </c>
      <c r="D90">
        <v>3</v>
      </c>
      <c r="E90" s="6">
        <v>45717</v>
      </c>
    </row>
    <row r="91" spans="1:5" x14ac:dyDescent="0.3">
      <c r="A91" s="5">
        <v>45747</v>
      </c>
      <c r="B91">
        <v>2025</v>
      </c>
      <c r="C91" t="s">
        <v>304</v>
      </c>
      <c r="D91">
        <v>3</v>
      </c>
      <c r="E91" s="6">
        <v>45717</v>
      </c>
    </row>
    <row r="92" spans="1:5" x14ac:dyDescent="0.3">
      <c r="A92" s="5">
        <v>45748</v>
      </c>
      <c r="B92">
        <v>2025</v>
      </c>
      <c r="C92" t="s">
        <v>305</v>
      </c>
      <c r="D92">
        <v>4</v>
      </c>
      <c r="E92" s="6">
        <v>45748</v>
      </c>
    </row>
    <row r="93" spans="1:5" x14ac:dyDescent="0.3">
      <c r="A93" s="5">
        <v>45749</v>
      </c>
      <c r="B93">
        <v>2025</v>
      </c>
      <c r="C93" t="s">
        <v>305</v>
      </c>
      <c r="D93">
        <v>4</v>
      </c>
      <c r="E93" s="6">
        <v>45748</v>
      </c>
    </row>
    <row r="94" spans="1:5" x14ac:dyDescent="0.3">
      <c r="A94" s="5">
        <v>45750</v>
      </c>
      <c r="B94">
        <v>2025</v>
      </c>
      <c r="C94" t="s">
        <v>305</v>
      </c>
      <c r="D94">
        <v>4</v>
      </c>
      <c r="E94" s="6">
        <v>45748</v>
      </c>
    </row>
    <row r="95" spans="1:5" x14ac:dyDescent="0.3">
      <c r="A95" s="5">
        <v>45751</v>
      </c>
      <c r="B95">
        <v>2025</v>
      </c>
      <c r="C95" t="s">
        <v>305</v>
      </c>
      <c r="D95">
        <v>4</v>
      </c>
      <c r="E95" s="6">
        <v>45748</v>
      </c>
    </row>
    <row r="96" spans="1:5" x14ac:dyDescent="0.3">
      <c r="A96" s="5">
        <v>45752</v>
      </c>
      <c r="B96">
        <v>2025</v>
      </c>
      <c r="C96" t="s">
        <v>305</v>
      </c>
      <c r="D96">
        <v>4</v>
      </c>
      <c r="E96" s="6">
        <v>45748</v>
      </c>
    </row>
    <row r="97" spans="1:5" x14ac:dyDescent="0.3">
      <c r="A97" s="5">
        <v>45753</v>
      </c>
      <c r="B97">
        <v>2025</v>
      </c>
      <c r="C97" t="s">
        <v>305</v>
      </c>
      <c r="D97">
        <v>4</v>
      </c>
      <c r="E97" s="6">
        <v>45748</v>
      </c>
    </row>
    <row r="98" spans="1:5" x14ac:dyDescent="0.3">
      <c r="A98" s="5">
        <v>45754</v>
      </c>
      <c r="B98">
        <v>2025</v>
      </c>
      <c r="C98" t="s">
        <v>305</v>
      </c>
      <c r="D98">
        <v>4</v>
      </c>
      <c r="E98" s="6">
        <v>45748</v>
      </c>
    </row>
    <row r="99" spans="1:5" x14ac:dyDescent="0.3">
      <c r="A99" s="5">
        <v>45755</v>
      </c>
      <c r="B99">
        <v>2025</v>
      </c>
      <c r="C99" t="s">
        <v>305</v>
      </c>
      <c r="D99">
        <v>4</v>
      </c>
      <c r="E99" s="6">
        <v>45748</v>
      </c>
    </row>
    <row r="100" spans="1:5" x14ac:dyDescent="0.3">
      <c r="A100" s="5">
        <v>45756</v>
      </c>
      <c r="B100">
        <v>2025</v>
      </c>
      <c r="C100" t="s">
        <v>305</v>
      </c>
      <c r="D100">
        <v>4</v>
      </c>
      <c r="E100" s="6">
        <v>45748</v>
      </c>
    </row>
    <row r="101" spans="1:5" x14ac:dyDescent="0.3">
      <c r="A101" s="5">
        <v>45757</v>
      </c>
      <c r="B101">
        <v>2025</v>
      </c>
      <c r="C101" t="s">
        <v>305</v>
      </c>
      <c r="D101">
        <v>4</v>
      </c>
      <c r="E101" s="6">
        <v>45748</v>
      </c>
    </row>
    <row r="102" spans="1:5" x14ac:dyDescent="0.3">
      <c r="A102" s="5">
        <v>45758</v>
      </c>
      <c r="B102">
        <v>2025</v>
      </c>
      <c r="C102" t="s">
        <v>305</v>
      </c>
      <c r="D102">
        <v>4</v>
      </c>
      <c r="E102" s="6">
        <v>45748</v>
      </c>
    </row>
    <row r="103" spans="1:5" x14ac:dyDescent="0.3">
      <c r="A103" s="5">
        <v>45759</v>
      </c>
      <c r="B103">
        <v>2025</v>
      </c>
      <c r="C103" t="s">
        <v>305</v>
      </c>
      <c r="D103">
        <v>4</v>
      </c>
      <c r="E103" s="6">
        <v>45748</v>
      </c>
    </row>
    <row r="104" spans="1:5" x14ac:dyDescent="0.3">
      <c r="A104" s="5">
        <v>45760</v>
      </c>
      <c r="B104">
        <v>2025</v>
      </c>
      <c r="C104" t="s">
        <v>305</v>
      </c>
      <c r="D104">
        <v>4</v>
      </c>
      <c r="E104" s="6">
        <v>45748</v>
      </c>
    </row>
    <row r="105" spans="1:5" x14ac:dyDescent="0.3">
      <c r="A105" s="5">
        <v>45761</v>
      </c>
      <c r="B105">
        <v>2025</v>
      </c>
      <c r="C105" t="s">
        <v>305</v>
      </c>
      <c r="D105">
        <v>4</v>
      </c>
      <c r="E105" s="6">
        <v>45748</v>
      </c>
    </row>
    <row r="106" spans="1:5" x14ac:dyDescent="0.3">
      <c r="A106" s="5">
        <v>45762</v>
      </c>
      <c r="B106">
        <v>2025</v>
      </c>
      <c r="C106" t="s">
        <v>305</v>
      </c>
      <c r="D106">
        <v>4</v>
      </c>
      <c r="E106" s="6">
        <v>45748</v>
      </c>
    </row>
    <row r="107" spans="1:5" x14ac:dyDescent="0.3">
      <c r="A107" s="5">
        <v>45763</v>
      </c>
      <c r="B107">
        <v>2025</v>
      </c>
      <c r="C107" t="s">
        <v>305</v>
      </c>
      <c r="D107">
        <v>4</v>
      </c>
      <c r="E107" s="6">
        <v>45748</v>
      </c>
    </row>
    <row r="108" spans="1:5" x14ac:dyDescent="0.3">
      <c r="A108" s="5">
        <v>45764</v>
      </c>
      <c r="B108">
        <v>2025</v>
      </c>
      <c r="C108" t="s">
        <v>305</v>
      </c>
      <c r="D108">
        <v>4</v>
      </c>
      <c r="E108" s="6">
        <v>45748</v>
      </c>
    </row>
    <row r="109" spans="1:5" x14ac:dyDescent="0.3">
      <c r="A109" s="5">
        <v>45765</v>
      </c>
      <c r="B109">
        <v>2025</v>
      </c>
      <c r="C109" t="s">
        <v>305</v>
      </c>
      <c r="D109">
        <v>4</v>
      </c>
      <c r="E109" s="6">
        <v>45748</v>
      </c>
    </row>
    <row r="110" spans="1:5" x14ac:dyDescent="0.3">
      <c r="A110" s="5">
        <v>45766</v>
      </c>
      <c r="B110">
        <v>2025</v>
      </c>
      <c r="C110" t="s">
        <v>305</v>
      </c>
      <c r="D110">
        <v>4</v>
      </c>
      <c r="E110" s="6">
        <v>45748</v>
      </c>
    </row>
    <row r="111" spans="1:5" x14ac:dyDescent="0.3">
      <c r="A111" s="5">
        <v>45767</v>
      </c>
      <c r="B111">
        <v>2025</v>
      </c>
      <c r="C111" t="s">
        <v>305</v>
      </c>
      <c r="D111">
        <v>4</v>
      </c>
      <c r="E111" s="6">
        <v>45748</v>
      </c>
    </row>
    <row r="112" spans="1:5" x14ac:dyDescent="0.3">
      <c r="A112" s="5">
        <v>45768</v>
      </c>
      <c r="B112">
        <v>2025</v>
      </c>
      <c r="C112" t="s">
        <v>305</v>
      </c>
      <c r="D112">
        <v>4</v>
      </c>
      <c r="E112" s="6">
        <v>45748</v>
      </c>
    </row>
    <row r="113" spans="1:5" x14ac:dyDescent="0.3">
      <c r="A113" s="5">
        <v>45769</v>
      </c>
      <c r="B113">
        <v>2025</v>
      </c>
      <c r="C113" t="s">
        <v>305</v>
      </c>
      <c r="D113">
        <v>4</v>
      </c>
      <c r="E113" s="6">
        <v>45748</v>
      </c>
    </row>
    <row r="114" spans="1:5" x14ac:dyDescent="0.3">
      <c r="A114" s="5">
        <v>45770</v>
      </c>
      <c r="B114">
        <v>2025</v>
      </c>
      <c r="C114" t="s">
        <v>305</v>
      </c>
      <c r="D114">
        <v>4</v>
      </c>
      <c r="E114" s="6">
        <v>45748</v>
      </c>
    </row>
    <row r="115" spans="1:5" x14ac:dyDescent="0.3">
      <c r="A115" s="5">
        <v>45771</v>
      </c>
      <c r="B115">
        <v>2025</v>
      </c>
      <c r="C115" t="s">
        <v>305</v>
      </c>
      <c r="D115">
        <v>4</v>
      </c>
      <c r="E115" s="6">
        <v>45748</v>
      </c>
    </row>
    <row r="116" spans="1:5" x14ac:dyDescent="0.3">
      <c r="A116" s="5">
        <v>45772</v>
      </c>
      <c r="B116">
        <v>2025</v>
      </c>
      <c r="C116" t="s">
        <v>305</v>
      </c>
      <c r="D116">
        <v>4</v>
      </c>
      <c r="E116" s="6">
        <v>45748</v>
      </c>
    </row>
    <row r="117" spans="1:5" x14ac:dyDescent="0.3">
      <c r="A117" s="5">
        <v>45773</v>
      </c>
      <c r="B117">
        <v>2025</v>
      </c>
      <c r="C117" t="s">
        <v>305</v>
      </c>
      <c r="D117">
        <v>4</v>
      </c>
      <c r="E117" s="6">
        <v>45748</v>
      </c>
    </row>
    <row r="118" spans="1:5" x14ac:dyDescent="0.3">
      <c r="A118" s="5">
        <v>45774</v>
      </c>
      <c r="B118">
        <v>2025</v>
      </c>
      <c r="C118" t="s">
        <v>305</v>
      </c>
      <c r="D118">
        <v>4</v>
      </c>
      <c r="E118" s="6">
        <v>45748</v>
      </c>
    </row>
    <row r="119" spans="1:5" x14ac:dyDescent="0.3">
      <c r="A119" s="5">
        <v>45775</v>
      </c>
      <c r="B119">
        <v>2025</v>
      </c>
      <c r="C119" t="s">
        <v>305</v>
      </c>
      <c r="D119">
        <v>4</v>
      </c>
      <c r="E119" s="6">
        <v>45748</v>
      </c>
    </row>
    <row r="120" spans="1:5" x14ac:dyDescent="0.3">
      <c r="A120" s="5">
        <v>45776</v>
      </c>
      <c r="B120">
        <v>2025</v>
      </c>
      <c r="C120" t="s">
        <v>305</v>
      </c>
      <c r="D120">
        <v>4</v>
      </c>
      <c r="E120" s="6">
        <v>45748</v>
      </c>
    </row>
    <row r="121" spans="1:5" x14ac:dyDescent="0.3">
      <c r="A121" s="5">
        <v>45777</v>
      </c>
      <c r="B121">
        <v>2025</v>
      </c>
      <c r="C121" t="s">
        <v>305</v>
      </c>
      <c r="D121">
        <v>4</v>
      </c>
      <c r="E121" s="6">
        <v>45748</v>
      </c>
    </row>
    <row r="122" spans="1:5" x14ac:dyDescent="0.3">
      <c r="A122" s="5">
        <v>45778</v>
      </c>
      <c r="B122">
        <v>2025</v>
      </c>
      <c r="C122" t="s">
        <v>306</v>
      </c>
      <c r="D122">
        <v>5</v>
      </c>
      <c r="E122" s="6">
        <v>45778</v>
      </c>
    </row>
    <row r="123" spans="1:5" x14ac:dyDescent="0.3">
      <c r="A123" s="5">
        <v>45779</v>
      </c>
      <c r="B123">
        <v>2025</v>
      </c>
      <c r="C123" t="s">
        <v>306</v>
      </c>
      <c r="D123">
        <v>5</v>
      </c>
      <c r="E123" s="6">
        <v>45778</v>
      </c>
    </row>
    <row r="124" spans="1:5" x14ac:dyDescent="0.3">
      <c r="A124" s="5">
        <v>45780</v>
      </c>
      <c r="B124">
        <v>2025</v>
      </c>
      <c r="C124" t="s">
        <v>306</v>
      </c>
      <c r="D124">
        <v>5</v>
      </c>
      <c r="E124" s="6">
        <v>45778</v>
      </c>
    </row>
    <row r="125" spans="1:5" x14ac:dyDescent="0.3">
      <c r="A125" s="5">
        <v>45781</v>
      </c>
      <c r="B125">
        <v>2025</v>
      </c>
      <c r="C125" t="s">
        <v>306</v>
      </c>
      <c r="D125">
        <v>5</v>
      </c>
      <c r="E125" s="6">
        <v>45778</v>
      </c>
    </row>
    <row r="126" spans="1:5" x14ac:dyDescent="0.3">
      <c r="A126" s="5">
        <v>45782</v>
      </c>
      <c r="B126">
        <v>2025</v>
      </c>
      <c r="C126" t="s">
        <v>306</v>
      </c>
      <c r="D126">
        <v>5</v>
      </c>
      <c r="E126" s="6">
        <v>45778</v>
      </c>
    </row>
    <row r="127" spans="1:5" x14ac:dyDescent="0.3">
      <c r="A127" s="5">
        <v>45783</v>
      </c>
      <c r="B127">
        <v>2025</v>
      </c>
      <c r="C127" t="s">
        <v>306</v>
      </c>
      <c r="D127">
        <v>5</v>
      </c>
      <c r="E127" s="6">
        <v>45778</v>
      </c>
    </row>
    <row r="128" spans="1:5" x14ac:dyDescent="0.3">
      <c r="A128" s="5">
        <v>45784</v>
      </c>
      <c r="B128">
        <v>2025</v>
      </c>
      <c r="C128" t="s">
        <v>306</v>
      </c>
      <c r="D128">
        <v>5</v>
      </c>
      <c r="E128" s="6">
        <v>45778</v>
      </c>
    </row>
    <row r="129" spans="1:5" x14ac:dyDescent="0.3">
      <c r="A129" s="5">
        <v>45785</v>
      </c>
      <c r="B129">
        <v>2025</v>
      </c>
      <c r="C129" t="s">
        <v>306</v>
      </c>
      <c r="D129">
        <v>5</v>
      </c>
      <c r="E129" s="6">
        <v>45778</v>
      </c>
    </row>
    <row r="130" spans="1:5" x14ac:dyDescent="0.3">
      <c r="A130" s="5">
        <v>45786</v>
      </c>
      <c r="B130">
        <v>2025</v>
      </c>
      <c r="C130" t="s">
        <v>306</v>
      </c>
      <c r="D130">
        <v>5</v>
      </c>
      <c r="E130" s="6">
        <v>45778</v>
      </c>
    </row>
    <row r="131" spans="1:5" x14ac:dyDescent="0.3">
      <c r="A131" s="5">
        <v>45787</v>
      </c>
      <c r="B131">
        <v>2025</v>
      </c>
      <c r="C131" t="s">
        <v>306</v>
      </c>
      <c r="D131">
        <v>5</v>
      </c>
      <c r="E131" s="6">
        <v>45778</v>
      </c>
    </row>
    <row r="132" spans="1:5" x14ac:dyDescent="0.3">
      <c r="A132" s="5">
        <v>45788</v>
      </c>
      <c r="B132">
        <v>2025</v>
      </c>
      <c r="C132" t="s">
        <v>306</v>
      </c>
      <c r="D132">
        <v>5</v>
      </c>
      <c r="E132" s="6">
        <v>45778</v>
      </c>
    </row>
    <row r="133" spans="1:5" x14ac:dyDescent="0.3">
      <c r="A133" s="5">
        <v>45789</v>
      </c>
      <c r="B133">
        <v>2025</v>
      </c>
      <c r="C133" t="s">
        <v>306</v>
      </c>
      <c r="D133">
        <v>5</v>
      </c>
      <c r="E133" s="6">
        <v>45778</v>
      </c>
    </row>
    <row r="134" spans="1:5" x14ac:dyDescent="0.3">
      <c r="A134" s="5">
        <v>45790</v>
      </c>
      <c r="B134">
        <v>2025</v>
      </c>
      <c r="C134" t="s">
        <v>306</v>
      </c>
      <c r="D134">
        <v>5</v>
      </c>
      <c r="E134" s="6">
        <v>45778</v>
      </c>
    </row>
    <row r="135" spans="1:5" x14ac:dyDescent="0.3">
      <c r="A135" s="5">
        <v>45791</v>
      </c>
      <c r="B135">
        <v>2025</v>
      </c>
      <c r="C135" t="s">
        <v>306</v>
      </c>
      <c r="D135">
        <v>5</v>
      </c>
      <c r="E135" s="6">
        <v>45778</v>
      </c>
    </row>
    <row r="136" spans="1:5" x14ac:dyDescent="0.3">
      <c r="A136" s="5">
        <v>45792</v>
      </c>
      <c r="B136">
        <v>2025</v>
      </c>
      <c r="C136" t="s">
        <v>306</v>
      </c>
      <c r="D136">
        <v>5</v>
      </c>
      <c r="E136" s="6">
        <v>45778</v>
      </c>
    </row>
    <row r="137" spans="1:5" x14ac:dyDescent="0.3">
      <c r="A137" s="5">
        <v>45793</v>
      </c>
      <c r="B137">
        <v>2025</v>
      </c>
      <c r="C137" t="s">
        <v>306</v>
      </c>
      <c r="D137">
        <v>5</v>
      </c>
      <c r="E137" s="6">
        <v>45778</v>
      </c>
    </row>
    <row r="138" spans="1:5" x14ac:dyDescent="0.3">
      <c r="A138" s="5">
        <v>45794</v>
      </c>
      <c r="B138">
        <v>2025</v>
      </c>
      <c r="C138" t="s">
        <v>306</v>
      </c>
      <c r="D138">
        <v>5</v>
      </c>
      <c r="E138" s="6">
        <v>45778</v>
      </c>
    </row>
    <row r="139" spans="1:5" x14ac:dyDescent="0.3">
      <c r="A139" s="5">
        <v>45795</v>
      </c>
      <c r="B139">
        <v>2025</v>
      </c>
      <c r="C139" t="s">
        <v>306</v>
      </c>
      <c r="D139">
        <v>5</v>
      </c>
      <c r="E139" s="6">
        <v>45778</v>
      </c>
    </row>
    <row r="140" spans="1:5" x14ac:dyDescent="0.3">
      <c r="A140" s="5">
        <v>45796</v>
      </c>
      <c r="B140">
        <v>2025</v>
      </c>
      <c r="C140" t="s">
        <v>306</v>
      </c>
      <c r="D140">
        <v>5</v>
      </c>
      <c r="E140" s="6">
        <v>45778</v>
      </c>
    </row>
    <row r="141" spans="1:5" x14ac:dyDescent="0.3">
      <c r="A141" s="5">
        <v>45797</v>
      </c>
      <c r="B141">
        <v>2025</v>
      </c>
      <c r="C141" t="s">
        <v>306</v>
      </c>
      <c r="D141">
        <v>5</v>
      </c>
      <c r="E141" s="6">
        <v>45778</v>
      </c>
    </row>
    <row r="142" spans="1:5" x14ac:dyDescent="0.3">
      <c r="A142" s="5">
        <v>45798</v>
      </c>
      <c r="B142">
        <v>2025</v>
      </c>
      <c r="C142" t="s">
        <v>306</v>
      </c>
      <c r="D142">
        <v>5</v>
      </c>
      <c r="E142" s="6">
        <v>45778</v>
      </c>
    </row>
    <row r="143" spans="1:5" x14ac:dyDescent="0.3">
      <c r="A143" s="5">
        <v>45799</v>
      </c>
      <c r="B143">
        <v>2025</v>
      </c>
      <c r="C143" t="s">
        <v>306</v>
      </c>
      <c r="D143">
        <v>5</v>
      </c>
      <c r="E143" s="6">
        <v>45778</v>
      </c>
    </row>
    <row r="144" spans="1:5" x14ac:dyDescent="0.3">
      <c r="A144" s="5">
        <v>45800</v>
      </c>
      <c r="B144">
        <v>2025</v>
      </c>
      <c r="C144" t="s">
        <v>306</v>
      </c>
      <c r="D144">
        <v>5</v>
      </c>
      <c r="E144" s="6">
        <v>45778</v>
      </c>
    </row>
    <row r="145" spans="1:5" x14ac:dyDescent="0.3">
      <c r="A145" s="5">
        <v>45801</v>
      </c>
      <c r="B145">
        <v>2025</v>
      </c>
      <c r="C145" t="s">
        <v>306</v>
      </c>
      <c r="D145">
        <v>5</v>
      </c>
      <c r="E145" s="6">
        <v>45778</v>
      </c>
    </row>
    <row r="146" spans="1:5" x14ac:dyDescent="0.3">
      <c r="A146" s="5">
        <v>45802</v>
      </c>
      <c r="B146">
        <v>2025</v>
      </c>
      <c r="C146" t="s">
        <v>306</v>
      </c>
      <c r="D146">
        <v>5</v>
      </c>
      <c r="E146" s="6">
        <v>45778</v>
      </c>
    </row>
    <row r="147" spans="1:5" x14ac:dyDescent="0.3">
      <c r="A147" s="5">
        <v>45803</v>
      </c>
      <c r="B147">
        <v>2025</v>
      </c>
      <c r="C147" t="s">
        <v>306</v>
      </c>
      <c r="D147">
        <v>5</v>
      </c>
      <c r="E147" s="6">
        <v>45778</v>
      </c>
    </row>
    <row r="148" spans="1:5" x14ac:dyDescent="0.3">
      <c r="A148" s="5">
        <v>45804</v>
      </c>
      <c r="B148">
        <v>2025</v>
      </c>
      <c r="C148" t="s">
        <v>306</v>
      </c>
      <c r="D148">
        <v>5</v>
      </c>
      <c r="E148" s="6">
        <v>45778</v>
      </c>
    </row>
    <row r="149" spans="1:5" x14ac:dyDescent="0.3">
      <c r="A149" s="5">
        <v>45805</v>
      </c>
      <c r="B149">
        <v>2025</v>
      </c>
      <c r="C149" t="s">
        <v>306</v>
      </c>
      <c r="D149">
        <v>5</v>
      </c>
      <c r="E149" s="6">
        <v>45778</v>
      </c>
    </row>
    <row r="150" spans="1:5" x14ac:dyDescent="0.3">
      <c r="A150" s="5">
        <v>45806</v>
      </c>
      <c r="B150">
        <v>2025</v>
      </c>
      <c r="C150" t="s">
        <v>306</v>
      </c>
      <c r="D150">
        <v>5</v>
      </c>
      <c r="E150" s="6">
        <v>45778</v>
      </c>
    </row>
    <row r="151" spans="1:5" x14ac:dyDescent="0.3">
      <c r="A151" s="5">
        <v>45807</v>
      </c>
      <c r="B151">
        <v>2025</v>
      </c>
      <c r="C151" t="s">
        <v>306</v>
      </c>
      <c r="D151">
        <v>5</v>
      </c>
      <c r="E151" s="6">
        <v>45778</v>
      </c>
    </row>
    <row r="152" spans="1:5" x14ac:dyDescent="0.3">
      <c r="A152" s="5">
        <v>45808</v>
      </c>
      <c r="B152">
        <v>2025</v>
      </c>
      <c r="C152" t="s">
        <v>306</v>
      </c>
      <c r="D152">
        <v>5</v>
      </c>
      <c r="E152" s="6">
        <v>45778</v>
      </c>
    </row>
    <row r="153" spans="1:5" x14ac:dyDescent="0.3">
      <c r="A153" s="5">
        <v>45809</v>
      </c>
      <c r="B153">
        <v>2025</v>
      </c>
      <c r="C153" t="s">
        <v>307</v>
      </c>
      <c r="D153">
        <v>6</v>
      </c>
      <c r="E153" s="6">
        <v>45809</v>
      </c>
    </row>
    <row r="154" spans="1:5" x14ac:dyDescent="0.3">
      <c r="A154" s="5">
        <v>45810</v>
      </c>
      <c r="B154">
        <v>2025</v>
      </c>
      <c r="C154" t="s">
        <v>307</v>
      </c>
      <c r="D154">
        <v>6</v>
      </c>
      <c r="E154" s="6">
        <v>45809</v>
      </c>
    </row>
    <row r="155" spans="1:5" x14ac:dyDescent="0.3">
      <c r="A155" s="5">
        <v>45811</v>
      </c>
      <c r="B155">
        <v>2025</v>
      </c>
      <c r="C155" t="s">
        <v>307</v>
      </c>
      <c r="D155">
        <v>6</v>
      </c>
      <c r="E155" s="6">
        <v>45809</v>
      </c>
    </row>
    <row r="156" spans="1:5" x14ac:dyDescent="0.3">
      <c r="A156" s="5">
        <v>45812</v>
      </c>
      <c r="B156">
        <v>2025</v>
      </c>
      <c r="C156" t="s">
        <v>307</v>
      </c>
      <c r="D156">
        <v>6</v>
      </c>
      <c r="E156" s="6">
        <v>45809</v>
      </c>
    </row>
    <row r="157" spans="1:5" x14ac:dyDescent="0.3">
      <c r="A157" s="5">
        <v>45813</v>
      </c>
      <c r="B157">
        <v>2025</v>
      </c>
      <c r="C157" t="s">
        <v>307</v>
      </c>
      <c r="D157">
        <v>6</v>
      </c>
      <c r="E157" s="6">
        <v>45809</v>
      </c>
    </row>
    <row r="158" spans="1:5" x14ac:dyDescent="0.3">
      <c r="A158" s="5">
        <v>45814</v>
      </c>
      <c r="B158">
        <v>2025</v>
      </c>
      <c r="C158" t="s">
        <v>307</v>
      </c>
      <c r="D158">
        <v>6</v>
      </c>
      <c r="E158" s="6">
        <v>45809</v>
      </c>
    </row>
    <row r="159" spans="1:5" x14ac:dyDescent="0.3">
      <c r="A159" s="5">
        <v>45815</v>
      </c>
      <c r="B159">
        <v>2025</v>
      </c>
      <c r="C159" t="s">
        <v>307</v>
      </c>
      <c r="D159">
        <v>6</v>
      </c>
      <c r="E159" s="6">
        <v>45809</v>
      </c>
    </row>
    <row r="160" spans="1:5" x14ac:dyDescent="0.3">
      <c r="A160" s="5">
        <v>45816</v>
      </c>
      <c r="B160">
        <v>2025</v>
      </c>
      <c r="C160" t="s">
        <v>307</v>
      </c>
      <c r="D160">
        <v>6</v>
      </c>
      <c r="E160" s="6">
        <v>45809</v>
      </c>
    </row>
    <row r="161" spans="1:5" x14ac:dyDescent="0.3">
      <c r="A161" s="5">
        <v>45817</v>
      </c>
      <c r="B161">
        <v>2025</v>
      </c>
      <c r="C161" t="s">
        <v>307</v>
      </c>
      <c r="D161">
        <v>6</v>
      </c>
      <c r="E161" s="6">
        <v>45809</v>
      </c>
    </row>
    <row r="162" spans="1:5" x14ac:dyDescent="0.3">
      <c r="A162" s="5">
        <v>45818</v>
      </c>
      <c r="B162">
        <v>2025</v>
      </c>
      <c r="C162" t="s">
        <v>307</v>
      </c>
      <c r="D162">
        <v>6</v>
      </c>
      <c r="E162" s="6">
        <v>45809</v>
      </c>
    </row>
    <row r="163" spans="1:5" x14ac:dyDescent="0.3">
      <c r="A163" s="5">
        <v>45819</v>
      </c>
      <c r="B163">
        <v>2025</v>
      </c>
      <c r="C163" t="s">
        <v>307</v>
      </c>
      <c r="D163">
        <v>6</v>
      </c>
      <c r="E163" s="6">
        <v>45809</v>
      </c>
    </row>
    <row r="164" spans="1:5" x14ac:dyDescent="0.3">
      <c r="A164" s="5">
        <v>45820</v>
      </c>
      <c r="B164">
        <v>2025</v>
      </c>
      <c r="C164" t="s">
        <v>307</v>
      </c>
      <c r="D164">
        <v>6</v>
      </c>
      <c r="E164" s="6">
        <v>45809</v>
      </c>
    </row>
    <row r="165" spans="1:5" x14ac:dyDescent="0.3">
      <c r="A165" s="5">
        <v>45821</v>
      </c>
      <c r="B165">
        <v>2025</v>
      </c>
      <c r="C165" t="s">
        <v>307</v>
      </c>
      <c r="D165">
        <v>6</v>
      </c>
      <c r="E165" s="6">
        <v>45809</v>
      </c>
    </row>
    <row r="166" spans="1:5" x14ac:dyDescent="0.3">
      <c r="A166" s="5">
        <v>45822</v>
      </c>
      <c r="B166">
        <v>2025</v>
      </c>
      <c r="C166" t="s">
        <v>307</v>
      </c>
      <c r="D166">
        <v>6</v>
      </c>
      <c r="E166" s="6">
        <v>45809</v>
      </c>
    </row>
    <row r="167" spans="1:5" x14ac:dyDescent="0.3">
      <c r="A167" s="5">
        <v>45823</v>
      </c>
      <c r="B167">
        <v>2025</v>
      </c>
      <c r="C167" t="s">
        <v>307</v>
      </c>
      <c r="D167">
        <v>6</v>
      </c>
      <c r="E167" s="6">
        <v>45809</v>
      </c>
    </row>
    <row r="168" spans="1:5" x14ac:dyDescent="0.3">
      <c r="A168" s="5">
        <v>45824</v>
      </c>
      <c r="B168">
        <v>2025</v>
      </c>
      <c r="C168" t="s">
        <v>307</v>
      </c>
      <c r="D168">
        <v>6</v>
      </c>
      <c r="E168" s="6">
        <v>45809</v>
      </c>
    </row>
    <row r="169" spans="1:5" x14ac:dyDescent="0.3">
      <c r="A169" s="5">
        <v>45825</v>
      </c>
      <c r="B169">
        <v>2025</v>
      </c>
      <c r="C169" t="s">
        <v>307</v>
      </c>
      <c r="D169">
        <v>6</v>
      </c>
      <c r="E169" s="6">
        <v>45809</v>
      </c>
    </row>
    <row r="170" spans="1:5" x14ac:dyDescent="0.3">
      <c r="A170" s="5">
        <v>45826</v>
      </c>
      <c r="B170">
        <v>2025</v>
      </c>
      <c r="C170" t="s">
        <v>307</v>
      </c>
      <c r="D170">
        <v>6</v>
      </c>
      <c r="E170" s="6">
        <v>45809</v>
      </c>
    </row>
    <row r="171" spans="1:5" x14ac:dyDescent="0.3">
      <c r="A171" s="5">
        <v>45827</v>
      </c>
      <c r="B171">
        <v>2025</v>
      </c>
      <c r="C171" t="s">
        <v>307</v>
      </c>
      <c r="D171">
        <v>6</v>
      </c>
      <c r="E171" s="6">
        <v>45809</v>
      </c>
    </row>
    <row r="172" spans="1:5" x14ac:dyDescent="0.3">
      <c r="A172" s="5">
        <v>45828</v>
      </c>
      <c r="B172">
        <v>2025</v>
      </c>
      <c r="C172" t="s">
        <v>307</v>
      </c>
      <c r="D172">
        <v>6</v>
      </c>
      <c r="E172" s="6">
        <v>45809</v>
      </c>
    </row>
    <row r="173" spans="1:5" x14ac:dyDescent="0.3">
      <c r="A173" s="5">
        <v>45829</v>
      </c>
      <c r="B173">
        <v>2025</v>
      </c>
      <c r="C173" t="s">
        <v>307</v>
      </c>
      <c r="D173">
        <v>6</v>
      </c>
      <c r="E173" s="6">
        <v>45809</v>
      </c>
    </row>
    <row r="174" spans="1:5" x14ac:dyDescent="0.3">
      <c r="A174" s="5">
        <v>45830</v>
      </c>
      <c r="B174">
        <v>2025</v>
      </c>
      <c r="C174" t="s">
        <v>307</v>
      </c>
      <c r="D174">
        <v>6</v>
      </c>
      <c r="E174" s="6">
        <v>45809</v>
      </c>
    </row>
    <row r="175" spans="1:5" x14ac:dyDescent="0.3">
      <c r="A175" s="5">
        <v>45831</v>
      </c>
      <c r="B175">
        <v>2025</v>
      </c>
      <c r="C175" t="s">
        <v>307</v>
      </c>
      <c r="D175">
        <v>6</v>
      </c>
      <c r="E175" s="6">
        <v>45809</v>
      </c>
    </row>
    <row r="176" spans="1:5" x14ac:dyDescent="0.3">
      <c r="A176" s="5">
        <v>45832</v>
      </c>
      <c r="B176">
        <v>2025</v>
      </c>
      <c r="C176" t="s">
        <v>307</v>
      </c>
      <c r="D176">
        <v>6</v>
      </c>
      <c r="E176" s="6">
        <v>45809</v>
      </c>
    </row>
    <row r="177" spans="1:5" x14ac:dyDescent="0.3">
      <c r="A177" s="5">
        <v>45833</v>
      </c>
      <c r="B177">
        <v>2025</v>
      </c>
      <c r="C177" t="s">
        <v>307</v>
      </c>
      <c r="D177">
        <v>6</v>
      </c>
      <c r="E177" s="6">
        <v>45809</v>
      </c>
    </row>
    <row r="178" spans="1:5" x14ac:dyDescent="0.3">
      <c r="A178" s="5">
        <v>45834</v>
      </c>
      <c r="B178">
        <v>2025</v>
      </c>
      <c r="C178" t="s">
        <v>307</v>
      </c>
      <c r="D178">
        <v>6</v>
      </c>
      <c r="E178" s="6">
        <v>45809</v>
      </c>
    </row>
    <row r="179" spans="1:5" x14ac:dyDescent="0.3">
      <c r="A179" s="5">
        <v>45835</v>
      </c>
      <c r="B179">
        <v>2025</v>
      </c>
      <c r="C179" t="s">
        <v>307</v>
      </c>
      <c r="D179">
        <v>6</v>
      </c>
      <c r="E179" s="6">
        <v>45809</v>
      </c>
    </row>
    <row r="180" spans="1:5" x14ac:dyDescent="0.3">
      <c r="A180" s="5">
        <v>45836</v>
      </c>
      <c r="B180">
        <v>2025</v>
      </c>
      <c r="C180" t="s">
        <v>307</v>
      </c>
      <c r="D180">
        <v>6</v>
      </c>
      <c r="E180" s="6">
        <v>45809</v>
      </c>
    </row>
    <row r="181" spans="1:5" x14ac:dyDescent="0.3">
      <c r="A181" s="5">
        <v>45837</v>
      </c>
      <c r="B181">
        <v>2025</v>
      </c>
      <c r="C181" t="s">
        <v>307</v>
      </c>
      <c r="D181">
        <v>6</v>
      </c>
      <c r="E181" s="6">
        <v>45809</v>
      </c>
    </row>
    <row r="182" spans="1:5" x14ac:dyDescent="0.3">
      <c r="A182" s="5">
        <v>45838</v>
      </c>
      <c r="B182">
        <v>2025</v>
      </c>
      <c r="C182" t="s">
        <v>307</v>
      </c>
      <c r="D182">
        <v>6</v>
      </c>
      <c r="E182" s="6">
        <v>45809</v>
      </c>
    </row>
    <row r="183" spans="1:5" x14ac:dyDescent="0.3">
      <c r="A183" s="5">
        <v>45839</v>
      </c>
      <c r="B183">
        <v>2025</v>
      </c>
      <c r="C183" t="s">
        <v>308</v>
      </c>
      <c r="D183">
        <v>7</v>
      </c>
      <c r="E183" s="6">
        <v>45839</v>
      </c>
    </row>
    <row r="184" spans="1:5" x14ac:dyDescent="0.3">
      <c r="A184" s="5">
        <v>45840</v>
      </c>
      <c r="B184">
        <v>2025</v>
      </c>
      <c r="C184" t="s">
        <v>308</v>
      </c>
      <c r="D184">
        <v>7</v>
      </c>
      <c r="E184" s="6">
        <v>45839</v>
      </c>
    </row>
    <row r="185" spans="1:5" x14ac:dyDescent="0.3">
      <c r="A185" s="5">
        <v>45841</v>
      </c>
      <c r="B185">
        <v>2025</v>
      </c>
      <c r="C185" t="s">
        <v>308</v>
      </c>
      <c r="D185">
        <v>7</v>
      </c>
      <c r="E185" s="6">
        <v>45839</v>
      </c>
    </row>
    <row r="186" spans="1:5" x14ac:dyDescent="0.3">
      <c r="A186" s="5">
        <v>45842</v>
      </c>
      <c r="B186">
        <v>2025</v>
      </c>
      <c r="C186" t="s">
        <v>308</v>
      </c>
      <c r="D186">
        <v>7</v>
      </c>
      <c r="E186" s="6">
        <v>45839</v>
      </c>
    </row>
    <row r="187" spans="1:5" x14ac:dyDescent="0.3">
      <c r="A187" s="5">
        <v>45843</v>
      </c>
      <c r="B187">
        <v>2025</v>
      </c>
      <c r="C187" t="s">
        <v>308</v>
      </c>
      <c r="D187">
        <v>7</v>
      </c>
      <c r="E187" s="6">
        <v>45839</v>
      </c>
    </row>
    <row r="188" spans="1:5" x14ac:dyDescent="0.3">
      <c r="A188" s="5">
        <v>45844</v>
      </c>
      <c r="B188">
        <v>2025</v>
      </c>
      <c r="C188" t="s">
        <v>308</v>
      </c>
      <c r="D188">
        <v>7</v>
      </c>
      <c r="E188" s="6">
        <v>45839</v>
      </c>
    </row>
    <row r="189" spans="1:5" x14ac:dyDescent="0.3">
      <c r="A189" s="5">
        <v>45845</v>
      </c>
      <c r="B189">
        <v>2025</v>
      </c>
      <c r="C189" t="s">
        <v>308</v>
      </c>
      <c r="D189">
        <v>7</v>
      </c>
      <c r="E189" s="6">
        <v>45839</v>
      </c>
    </row>
    <row r="190" spans="1:5" x14ac:dyDescent="0.3">
      <c r="A190" s="5">
        <v>45846</v>
      </c>
      <c r="B190">
        <v>2025</v>
      </c>
      <c r="C190" t="s">
        <v>308</v>
      </c>
      <c r="D190">
        <v>7</v>
      </c>
      <c r="E190" s="6">
        <v>45839</v>
      </c>
    </row>
    <row r="191" spans="1:5" x14ac:dyDescent="0.3">
      <c r="A191" s="5">
        <v>45847</v>
      </c>
      <c r="B191">
        <v>2025</v>
      </c>
      <c r="C191" t="s">
        <v>308</v>
      </c>
      <c r="D191">
        <v>7</v>
      </c>
      <c r="E191" s="6">
        <v>45839</v>
      </c>
    </row>
    <row r="192" spans="1:5" x14ac:dyDescent="0.3">
      <c r="A192" s="5">
        <v>45848</v>
      </c>
      <c r="B192">
        <v>2025</v>
      </c>
      <c r="C192" t="s">
        <v>308</v>
      </c>
      <c r="D192">
        <v>7</v>
      </c>
      <c r="E192" s="6">
        <v>45839</v>
      </c>
    </row>
    <row r="193" spans="1:5" x14ac:dyDescent="0.3">
      <c r="A193" s="5">
        <v>45849</v>
      </c>
      <c r="B193">
        <v>2025</v>
      </c>
      <c r="C193" t="s">
        <v>308</v>
      </c>
      <c r="D193">
        <v>7</v>
      </c>
      <c r="E193" s="6">
        <v>45839</v>
      </c>
    </row>
    <row r="194" spans="1:5" x14ac:dyDescent="0.3">
      <c r="A194" s="5">
        <v>45850</v>
      </c>
      <c r="B194">
        <v>2025</v>
      </c>
      <c r="C194" t="s">
        <v>308</v>
      </c>
      <c r="D194">
        <v>7</v>
      </c>
      <c r="E194" s="6">
        <v>45839</v>
      </c>
    </row>
    <row r="195" spans="1:5" x14ac:dyDescent="0.3">
      <c r="A195" s="5">
        <v>45851</v>
      </c>
      <c r="B195">
        <v>2025</v>
      </c>
      <c r="C195" t="s">
        <v>308</v>
      </c>
      <c r="D195">
        <v>7</v>
      </c>
      <c r="E195" s="6">
        <v>45839</v>
      </c>
    </row>
    <row r="196" spans="1:5" x14ac:dyDescent="0.3">
      <c r="A196" s="5">
        <v>45852</v>
      </c>
      <c r="B196">
        <v>2025</v>
      </c>
      <c r="C196" t="s">
        <v>308</v>
      </c>
      <c r="D196">
        <v>7</v>
      </c>
      <c r="E196" s="6">
        <v>45839</v>
      </c>
    </row>
    <row r="197" spans="1:5" x14ac:dyDescent="0.3">
      <c r="A197" s="5">
        <v>45853</v>
      </c>
      <c r="B197">
        <v>2025</v>
      </c>
      <c r="C197" t="s">
        <v>308</v>
      </c>
      <c r="D197">
        <v>7</v>
      </c>
      <c r="E197" s="6">
        <v>45839</v>
      </c>
    </row>
    <row r="198" spans="1:5" x14ac:dyDescent="0.3">
      <c r="A198" s="5">
        <v>45854</v>
      </c>
      <c r="B198">
        <v>2025</v>
      </c>
      <c r="C198" t="s">
        <v>308</v>
      </c>
      <c r="D198">
        <v>7</v>
      </c>
      <c r="E198" s="6">
        <v>45839</v>
      </c>
    </row>
    <row r="199" spans="1:5" x14ac:dyDescent="0.3">
      <c r="A199" s="5">
        <v>45855</v>
      </c>
      <c r="B199">
        <v>2025</v>
      </c>
      <c r="C199" t="s">
        <v>308</v>
      </c>
      <c r="D199">
        <v>7</v>
      </c>
      <c r="E199" s="6">
        <v>45839</v>
      </c>
    </row>
    <row r="200" spans="1:5" x14ac:dyDescent="0.3">
      <c r="A200" s="5">
        <v>45856</v>
      </c>
      <c r="B200">
        <v>2025</v>
      </c>
      <c r="C200" t="s">
        <v>308</v>
      </c>
      <c r="D200">
        <v>7</v>
      </c>
      <c r="E200" s="6">
        <v>45839</v>
      </c>
    </row>
    <row r="201" spans="1:5" x14ac:dyDescent="0.3">
      <c r="A201" s="5">
        <v>45857</v>
      </c>
      <c r="B201">
        <v>2025</v>
      </c>
      <c r="C201" t="s">
        <v>308</v>
      </c>
      <c r="D201">
        <v>7</v>
      </c>
      <c r="E201" s="6">
        <v>45839</v>
      </c>
    </row>
    <row r="202" spans="1:5" x14ac:dyDescent="0.3">
      <c r="A202" s="5">
        <v>45858</v>
      </c>
      <c r="B202">
        <v>2025</v>
      </c>
      <c r="C202" t="s">
        <v>308</v>
      </c>
      <c r="D202">
        <v>7</v>
      </c>
      <c r="E202" s="6">
        <v>45839</v>
      </c>
    </row>
    <row r="203" spans="1:5" x14ac:dyDescent="0.3">
      <c r="A203" s="5">
        <v>45859</v>
      </c>
      <c r="B203">
        <v>2025</v>
      </c>
      <c r="C203" t="s">
        <v>308</v>
      </c>
      <c r="D203">
        <v>7</v>
      </c>
      <c r="E203" s="6">
        <v>45839</v>
      </c>
    </row>
    <row r="204" spans="1:5" x14ac:dyDescent="0.3">
      <c r="A204" s="5">
        <v>45860</v>
      </c>
      <c r="B204">
        <v>2025</v>
      </c>
      <c r="C204" t="s">
        <v>308</v>
      </c>
      <c r="D204">
        <v>7</v>
      </c>
      <c r="E204" s="6">
        <v>45839</v>
      </c>
    </row>
    <row r="205" spans="1:5" x14ac:dyDescent="0.3">
      <c r="A205" s="5">
        <v>45861</v>
      </c>
      <c r="B205">
        <v>2025</v>
      </c>
      <c r="C205" t="s">
        <v>308</v>
      </c>
      <c r="D205">
        <v>7</v>
      </c>
      <c r="E205" s="6">
        <v>45839</v>
      </c>
    </row>
    <row r="206" spans="1:5" x14ac:dyDescent="0.3">
      <c r="A206" s="5">
        <v>45862</v>
      </c>
      <c r="B206">
        <v>2025</v>
      </c>
      <c r="C206" t="s">
        <v>308</v>
      </c>
      <c r="D206">
        <v>7</v>
      </c>
      <c r="E206" s="6">
        <v>45839</v>
      </c>
    </row>
    <row r="207" spans="1:5" x14ac:dyDescent="0.3">
      <c r="A207" s="5">
        <v>45863</v>
      </c>
      <c r="B207">
        <v>2025</v>
      </c>
      <c r="C207" t="s">
        <v>308</v>
      </c>
      <c r="D207">
        <v>7</v>
      </c>
      <c r="E207" s="6">
        <v>45839</v>
      </c>
    </row>
    <row r="208" spans="1:5" x14ac:dyDescent="0.3">
      <c r="A208" s="5">
        <v>45864</v>
      </c>
      <c r="B208">
        <v>2025</v>
      </c>
      <c r="C208" t="s">
        <v>308</v>
      </c>
      <c r="D208">
        <v>7</v>
      </c>
      <c r="E208" s="6">
        <v>45839</v>
      </c>
    </row>
    <row r="209" spans="1:5" x14ac:dyDescent="0.3">
      <c r="A209" s="5">
        <v>45865</v>
      </c>
      <c r="B209">
        <v>2025</v>
      </c>
      <c r="C209" t="s">
        <v>308</v>
      </c>
      <c r="D209">
        <v>7</v>
      </c>
      <c r="E209" s="6">
        <v>45839</v>
      </c>
    </row>
    <row r="210" spans="1:5" x14ac:dyDescent="0.3">
      <c r="A210" s="5">
        <v>45866</v>
      </c>
      <c r="B210">
        <v>2025</v>
      </c>
      <c r="C210" t="s">
        <v>308</v>
      </c>
      <c r="D210">
        <v>7</v>
      </c>
      <c r="E210" s="6">
        <v>45839</v>
      </c>
    </row>
    <row r="211" spans="1:5" x14ac:dyDescent="0.3">
      <c r="A211" s="5">
        <v>45867</v>
      </c>
      <c r="B211">
        <v>2025</v>
      </c>
      <c r="C211" t="s">
        <v>308</v>
      </c>
      <c r="D211">
        <v>7</v>
      </c>
      <c r="E211" s="6">
        <v>45839</v>
      </c>
    </row>
    <row r="212" spans="1:5" x14ac:dyDescent="0.3">
      <c r="A212" s="5">
        <v>45868</v>
      </c>
      <c r="B212">
        <v>2025</v>
      </c>
      <c r="C212" t="s">
        <v>308</v>
      </c>
      <c r="D212">
        <v>7</v>
      </c>
      <c r="E212" s="6">
        <v>45839</v>
      </c>
    </row>
    <row r="213" spans="1:5" x14ac:dyDescent="0.3">
      <c r="A213" s="5">
        <v>45869</v>
      </c>
      <c r="B213">
        <v>2025</v>
      </c>
      <c r="C213" t="s">
        <v>308</v>
      </c>
      <c r="D213">
        <v>7</v>
      </c>
      <c r="E213" s="6">
        <v>45839</v>
      </c>
    </row>
    <row r="214" spans="1:5" x14ac:dyDescent="0.3">
      <c r="A214" s="5">
        <v>45870</v>
      </c>
      <c r="B214">
        <v>2025</v>
      </c>
      <c r="C214" t="s">
        <v>309</v>
      </c>
      <c r="D214">
        <v>8</v>
      </c>
      <c r="E214" s="6">
        <v>45870</v>
      </c>
    </row>
    <row r="215" spans="1:5" x14ac:dyDescent="0.3">
      <c r="A215" s="5">
        <v>45871</v>
      </c>
      <c r="B215">
        <v>2025</v>
      </c>
      <c r="C215" t="s">
        <v>309</v>
      </c>
      <c r="D215">
        <v>8</v>
      </c>
      <c r="E215" s="6">
        <v>45870</v>
      </c>
    </row>
    <row r="216" spans="1:5" x14ac:dyDescent="0.3">
      <c r="A216" s="5">
        <v>45872</v>
      </c>
      <c r="B216">
        <v>2025</v>
      </c>
      <c r="C216" t="s">
        <v>309</v>
      </c>
      <c r="D216">
        <v>8</v>
      </c>
      <c r="E216" s="6">
        <v>45870</v>
      </c>
    </row>
    <row r="217" spans="1:5" x14ac:dyDescent="0.3">
      <c r="A217" s="5">
        <v>45873</v>
      </c>
      <c r="B217">
        <v>2025</v>
      </c>
      <c r="C217" t="s">
        <v>309</v>
      </c>
      <c r="D217">
        <v>8</v>
      </c>
      <c r="E217" s="6">
        <v>45870</v>
      </c>
    </row>
    <row r="218" spans="1:5" x14ac:dyDescent="0.3">
      <c r="A218" s="5">
        <v>45874</v>
      </c>
      <c r="B218">
        <v>2025</v>
      </c>
      <c r="C218" t="s">
        <v>309</v>
      </c>
      <c r="D218">
        <v>8</v>
      </c>
      <c r="E218" s="6">
        <v>45870</v>
      </c>
    </row>
    <row r="219" spans="1:5" x14ac:dyDescent="0.3">
      <c r="A219" s="5">
        <v>45875</v>
      </c>
      <c r="B219">
        <v>2025</v>
      </c>
      <c r="C219" t="s">
        <v>309</v>
      </c>
      <c r="D219">
        <v>8</v>
      </c>
      <c r="E219" s="6">
        <v>45870</v>
      </c>
    </row>
    <row r="220" spans="1:5" x14ac:dyDescent="0.3">
      <c r="A220" s="5">
        <v>45876</v>
      </c>
      <c r="B220">
        <v>2025</v>
      </c>
      <c r="C220" t="s">
        <v>309</v>
      </c>
      <c r="D220">
        <v>8</v>
      </c>
      <c r="E220" s="6">
        <v>45870</v>
      </c>
    </row>
    <row r="221" spans="1:5" x14ac:dyDescent="0.3">
      <c r="A221" s="5">
        <v>45877</v>
      </c>
      <c r="B221">
        <v>2025</v>
      </c>
      <c r="C221" t="s">
        <v>309</v>
      </c>
      <c r="D221">
        <v>8</v>
      </c>
      <c r="E221" s="6">
        <v>45870</v>
      </c>
    </row>
    <row r="222" spans="1:5" x14ac:dyDescent="0.3">
      <c r="A222" s="5">
        <v>45878</v>
      </c>
      <c r="B222">
        <v>2025</v>
      </c>
      <c r="C222" t="s">
        <v>309</v>
      </c>
      <c r="D222">
        <v>8</v>
      </c>
      <c r="E222" s="6">
        <v>45870</v>
      </c>
    </row>
    <row r="223" spans="1:5" x14ac:dyDescent="0.3">
      <c r="A223" s="5">
        <v>45879</v>
      </c>
      <c r="B223">
        <v>2025</v>
      </c>
      <c r="C223" t="s">
        <v>309</v>
      </c>
      <c r="D223">
        <v>8</v>
      </c>
      <c r="E223" s="6">
        <v>45870</v>
      </c>
    </row>
    <row r="224" spans="1:5" x14ac:dyDescent="0.3">
      <c r="A224" s="5">
        <v>45880</v>
      </c>
      <c r="B224">
        <v>2025</v>
      </c>
      <c r="C224" t="s">
        <v>309</v>
      </c>
      <c r="D224">
        <v>8</v>
      </c>
      <c r="E224" s="6">
        <v>45870</v>
      </c>
    </row>
    <row r="225" spans="1:5" x14ac:dyDescent="0.3">
      <c r="A225" s="5">
        <v>45881</v>
      </c>
      <c r="B225">
        <v>2025</v>
      </c>
      <c r="C225" t="s">
        <v>309</v>
      </c>
      <c r="D225">
        <v>8</v>
      </c>
      <c r="E225" s="6">
        <v>45870</v>
      </c>
    </row>
    <row r="226" spans="1:5" x14ac:dyDescent="0.3">
      <c r="A226" s="5">
        <v>45882</v>
      </c>
      <c r="B226">
        <v>2025</v>
      </c>
      <c r="C226" t="s">
        <v>309</v>
      </c>
      <c r="D226">
        <v>8</v>
      </c>
      <c r="E226" s="6">
        <v>45870</v>
      </c>
    </row>
    <row r="227" spans="1:5" x14ac:dyDescent="0.3">
      <c r="A227" s="5">
        <v>45883</v>
      </c>
      <c r="B227">
        <v>2025</v>
      </c>
      <c r="C227" t="s">
        <v>309</v>
      </c>
      <c r="D227">
        <v>8</v>
      </c>
      <c r="E227" s="6">
        <v>45870</v>
      </c>
    </row>
    <row r="228" spans="1:5" x14ac:dyDescent="0.3">
      <c r="A228" s="5">
        <v>45884</v>
      </c>
      <c r="B228">
        <v>2025</v>
      </c>
      <c r="C228" t="s">
        <v>309</v>
      </c>
      <c r="D228">
        <v>8</v>
      </c>
      <c r="E228" s="6">
        <v>45870</v>
      </c>
    </row>
    <row r="229" spans="1:5" x14ac:dyDescent="0.3">
      <c r="A229" s="5">
        <v>45885</v>
      </c>
      <c r="B229">
        <v>2025</v>
      </c>
      <c r="C229" t="s">
        <v>309</v>
      </c>
      <c r="D229">
        <v>8</v>
      </c>
      <c r="E229" s="6">
        <v>45870</v>
      </c>
    </row>
    <row r="230" spans="1:5" x14ac:dyDescent="0.3">
      <c r="A230" s="5">
        <v>45886</v>
      </c>
      <c r="B230">
        <v>2025</v>
      </c>
      <c r="C230" t="s">
        <v>309</v>
      </c>
      <c r="D230">
        <v>8</v>
      </c>
      <c r="E230" s="6">
        <v>45870</v>
      </c>
    </row>
    <row r="231" spans="1:5" x14ac:dyDescent="0.3">
      <c r="A231" s="5">
        <v>45887</v>
      </c>
      <c r="B231">
        <v>2025</v>
      </c>
      <c r="C231" t="s">
        <v>309</v>
      </c>
      <c r="D231">
        <v>8</v>
      </c>
      <c r="E231" s="6">
        <v>45870</v>
      </c>
    </row>
    <row r="232" spans="1:5" x14ac:dyDescent="0.3">
      <c r="A232" s="5">
        <v>45888</v>
      </c>
      <c r="B232">
        <v>2025</v>
      </c>
      <c r="C232" t="s">
        <v>309</v>
      </c>
      <c r="D232">
        <v>8</v>
      </c>
      <c r="E232" s="6">
        <v>45870</v>
      </c>
    </row>
    <row r="233" spans="1:5" x14ac:dyDescent="0.3">
      <c r="A233" s="5">
        <v>45889</v>
      </c>
      <c r="B233">
        <v>2025</v>
      </c>
      <c r="C233" t="s">
        <v>309</v>
      </c>
      <c r="D233">
        <v>8</v>
      </c>
      <c r="E233" s="6">
        <v>45870</v>
      </c>
    </row>
    <row r="234" spans="1:5" x14ac:dyDescent="0.3">
      <c r="A234" s="5">
        <v>45890</v>
      </c>
      <c r="B234">
        <v>2025</v>
      </c>
      <c r="C234" t="s">
        <v>309</v>
      </c>
      <c r="D234">
        <v>8</v>
      </c>
      <c r="E234" s="6">
        <v>45870</v>
      </c>
    </row>
    <row r="235" spans="1:5" x14ac:dyDescent="0.3">
      <c r="A235" s="5">
        <v>45891</v>
      </c>
      <c r="B235">
        <v>2025</v>
      </c>
      <c r="C235" t="s">
        <v>309</v>
      </c>
      <c r="D235">
        <v>8</v>
      </c>
      <c r="E235" s="6">
        <v>45870</v>
      </c>
    </row>
    <row r="236" spans="1:5" x14ac:dyDescent="0.3">
      <c r="A236" s="5">
        <v>45892</v>
      </c>
      <c r="B236">
        <v>2025</v>
      </c>
      <c r="C236" t="s">
        <v>309</v>
      </c>
      <c r="D236">
        <v>8</v>
      </c>
      <c r="E236" s="6">
        <v>45870</v>
      </c>
    </row>
    <row r="237" spans="1:5" x14ac:dyDescent="0.3">
      <c r="A237" s="5">
        <v>45893</v>
      </c>
      <c r="B237">
        <v>2025</v>
      </c>
      <c r="C237" t="s">
        <v>309</v>
      </c>
      <c r="D237">
        <v>8</v>
      </c>
      <c r="E237" s="6">
        <v>45870</v>
      </c>
    </row>
    <row r="238" spans="1:5" x14ac:dyDescent="0.3">
      <c r="A238" s="5">
        <v>45894</v>
      </c>
      <c r="B238">
        <v>2025</v>
      </c>
      <c r="C238" t="s">
        <v>309</v>
      </c>
      <c r="D238">
        <v>8</v>
      </c>
      <c r="E238" s="6">
        <v>45870</v>
      </c>
    </row>
    <row r="239" spans="1:5" x14ac:dyDescent="0.3">
      <c r="A239" s="5">
        <v>45895</v>
      </c>
      <c r="B239">
        <v>2025</v>
      </c>
      <c r="C239" t="s">
        <v>309</v>
      </c>
      <c r="D239">
        <v>8</v>
      </c>
      <c r="E239" s="6">
        <v>45870</v>
      </c>
    </row>
    <row r="240" spans="1:5" x14ac:dyDescent="0.3">
      <c r="A240" s="5">
        <v>45896</v>
      </c>
      <c r="B240">
        <v>2025</v>
      </c>
      <c r="C240" t="s">
        <v>309</v>
      </c>
      <c r="D240">
        <v>8</v>
      </c>
      <c r="E240" s="6">
        <v>45870</v>
      </c>
    </row>
    <row r="241" spans="1:5" x14ac:dyDescent="0.3">
      <c r="A241" s="5">
        <v>45897</v>
      </c>
      <c r="B241">
        <v>2025</v>
      </c>
      <c r="C241" t="s">
        <v>309</v>
      </c>
      <c r="D241">
        <v>8</v>
      </c>
      <c r="E241" s="6">
        <v>45870</v>
      </c>
    </row>
    <row r="242" spans="1:5" x14ac:dyDescent="0.3">
      <c r="A242" s="5">
        <v>45898</v>
      </c>
      <c r="B242">
        <v>2025</v>
      </c>
      <c r="C242" t="s">
        <v>309</v>
      </c>
      <c r="D242">
        <v>8</v>
      </c>
      <c r="E242" s="6">
        <v>45870</v>
      </c>
    </row>
    <row r="243" spans="1:5" x14ac:dyDescent="0.3">
      <c r="A243" s="5">
        <v>45899</v>
      </c>
      <c r="B243">
        <v>2025</v>
      </c>
      <c r="C243" t="s">
        <v>309</v>
      </c>
      <c r="D243">
        <v>8</v>
      </c>
      <c r="E243" s="6">
        <v>45870</v>
      </c>
    </row>
    <row r="244" spans="1:5" x14ac:dyDescent="0.3">
      <c r="A244" s="5">
        <v>45900</v>
      </c>
      <c r="B244">
        <v>2025</v>
      </c>
      <c r="C244" t="s">
        <v>309</v>
      </c>
      <c r="D244">
        <v>8</v>
      </c>
      <c r="E244" s="6">
        <v>45870</v>
      </c>
    </row>
    <row r="245" spans="1:5" x14ac:dyDescent="0.3">
      <c r="A245" s="5">
        <v>45901</v>
      </c>
      <c r="B245">
        <v>2025</v>
      </c>
      <c r="C245" t="s">
        <v>310</v>
      </c>
      <c r="D245">
        <v>9</v>
      </c>
      <c r="E245" s="6">
        <v>45901</v>
      </c>
    </row>
    <row r="246" spans="1:5" x14ac:dyDescent="0.3">
      <c r="A246" s="5">
        <v>45902</v>
      </c>
      <c r="B246">
        <v>2025</v>
      </c>
      <c r="C246" t="s">
        <v>310</v>
      </c>
      <c r="D246">
        <v>9</v>
      </c>
      <c r="E246" s="6">
        <v>45901</v>
      </c>
    </row>
    <row r="247" spans="1:5" x14ac:dyDescent="0.3">
      <c r="A247" s="5">
        <v>45903</v>
      </c>
      <c r="B247">
        <v>2025</v>
      </c>
      <c r="C247" t="s">
        <v>310</v>
      </c>
      <c r="D247">
        <v>9</v>
      </c>
      <c r="E247" s="6">
        <v>45901</v>
      </c>
    </row>
    <row r="248" spans="1:5" x14ac:dyDescent="0.3">
      <c r="A248" s="5">
        <v>45904</v>
      </c>
      <c r="B248">
        <v>2025</v>
      </c>
      <c r="C248" t="s">
        <v>310</v>
      </c>
      <c r="D248">
        <v>9</v>
      </c>
      <c r="E248" s="6">
        <v>45901</v>
      </c>
    </row>
    <row r="249" spans="1:5" x14ac:dyDescent="0.3">
      <c r="A249" s="5">
        <v>45905</v>
      </c>
      <c r="B249">
        <v>2025</v>
      </c>
      <c r="C249" t="s">
        <v>310</v>
      </c>
      <c r="D249">
        <v>9</v>
      </c>
      <c r="E249" s="6">
        <v>45901</v>
      </c>
    </row>
    <row r="250" spans="1:5" x14ac:dyDescent="0.3">
      <c r="A250" s="5">
        <v>45906</v>
      </c>
      <c r="B250">
        <v>2025</v>
      </c>
      <c r="C250" t="s">
        <v>310</v>
      </c>
      <c r="D250">
        <v>9</v>
      </c>
      <c r="E250" s="6">
        <v>45901</v>
      </c>
    </row>
    <row r="251" spans="1:5" x14ac:dyDescent="0.3">
      <c r="A251" s="5">
        <v>45907</v>
      </c>
      <c r="B251">
        <v>2025</v>
      </c>
      <c r="C251" t="s">
        <v>310</v>
      </c>
      <c r="D251">
        <v>9</v>
      </c>
      <c r="E251" s="6">
        <v>45901</v>
      </c>
    </row>
    <row r="252" spans="1:5" x14ac:dyDescent="0.3">
      <c r="A252" s="5">
        <v>45908</v>
      </c>
      <c r="B252">
        <v>2025</v>
      </c>
      <c r="C252" t="s">
        <v>310</v>
      </c>
      <c r="D252">
        <v>9</v>
      </c>
      <c r="E252" s="6">
        <v>45901</v>
      </c>
    </row>
    <row r="253" spans="1:5" x14ac:dyDescent="0.3">
      <c r="A253" s="5">
        <v>45909</v>
      </c>
      <c r="B253">
        <v>2025</v>
      </c>
      <c r="C253" t="s">
        <v>310</v>
      </c>
      <c r="D253">
        <v>9</v>
      </c>
      <c r="E253" s="6">
        <v>45901</v>
      </c>
    </row>
    <row r="254" spans="1:5" x14ac:dyDescent="0.3">
      <c r="A254" s="5">
        <v>45910</v>
      </c>
      <c r="B254">
        <v>2025</v>
      </c>
      <c r="C254" t="s">
        <v>310</v>
      </c>
      <c r="D254">
        <v>9</v>
      </c>
      <c r="E254" s="6">
        <v>45901</v>
      </c>
    </row>
    <row r="255" spans="1:5" x14ac:dyDescent="0.3">
      <c r="A255" s="5">
        <v>45911</v>
      </c>
      <c r="B255">
        <v>2025</v>
      </c>
      <c r="C255" t="s">
        <v>310</v>
      </c>
      <c r="D255">
        <v>9</v>
      </c>
      <c r="E255" s="6">
        <v>45901</v>
      </c>
    </row>
    <row r="256" spans="1:5" x14ac:dyDescent="0.3">
      <c r="A256" s="5">
        <v>45912</v>
      </c>
      <c r="B256">
        <v>2025</v>
      </c>
      <c r="C256" t="s">
        <v>310</v>
      </c>
      <c r="D256">
        <v>9</v>
      </c>
      <c r="E256" s="6">
        <v>45901</v>
      </c>
    </row>
    <row r="257" spans="1:5" x14ac:dyDescent="0.3">
      <c r="A257" s="5">
        <v>45913</v>
      </c>
      <c r="B257">
        <v>2025</v>
      </c>
      <c r="C257" t="s">
        <v>310</v>
      </c>
      <c r="D257">
        <v>9</v>
      </c>
      <c r="E257" s="6">
        <v>45901</v>
      </c>
    </row>
    <row r="258" spans="1:5" x14ac:dyDescent="0.3">
      <c r="A258" s="5">
        <v>45914</v>
      </c>
      <c r="B258">
        <v>2025</v>
      </c>
      <c r="C258" t="s">
        <v>310</v>
      </c>
      <c r="D258">
        <v>9</v>
      </c>
      <c r="E258" s="6">
        <v>45901</v>
      </c>
    </row>
    <row r="259" spans="1:5" x14ac:dyDescent="0.3">
      <c r="A259" s="5">
        <v>45915</v>
      </c>
      <c r="B259">
        <v>2025</v>
      </c>
      <c r="C259" t="s">
        <v>310</v>
      </c>
      <c r="D259">
        <v>9</v>
      </c>
      <c r="E259" s="6">
        <v>45901</v>
      </c>
    </row>
    <row r="260" spans="1:5" x14ac:dyDescent="0.3">
      <c r="A260" s="5">
        <v>45916</v>
      </c>
      <c r="B260">
        <v>2025</v>
      </c>
      <c r="C260" t="s">
        <v>310</v>
      </c>
      <c r="D260">
        <v>9</v>
      </c>
      <c r="E260" s="6">
        <v>45901</v>
      </c>
    </row>
    <row r="261" spans="1:5" x14ac:dyDescent="0.3">
      <c r="A261" s="5">
        <v>45917</v>
      </c>
      <c r="B261">
        <v>2025</v>
      </c>
      <c r="C261" t="s">
        <v>310</v>
      </c>
      <c r="D261">
        <v>9</v>
      </c>
      <c r="E261" s="6">
        <v>45901</v>
      </c>
    </row>
    <row r="262" spans="1:5" x14ac:dyDescent="0.3">
      <c r="A262" s="5">
        <v>45918</v>
      </c>
      <c r="B262">
        <v>2025</v>
      </c>
      <c r="C262" t="s">
        <v>310</v>
      </c>
      <c r="D262">
        <v>9</v>
      </c>
      <c r="E262" s="6">
        <v>45901</v>
      </c>
    </row>
    <row r="263" spans="1:5" x14ac:dyDescent="0.3">
      <c r="A263" s="5">
        <v>45919</v>
      </c>
      <c r="B263">
        <v>2025</v>
      </c>
      <c r="C263" t="s">
        <v>310</v>
      </c>
      <c r="D263">
        <v>9</v>
      </c>
      <c r="E263" s="6">
        <v>45901</v>
      </c>
    </row>
    <row r="264" spans="1:5" x14ac:dyDescent="0.3">
      <c r="A264" s="5">
        <v>45920</v>
      </c>
      <c r="B264">
        <v>2025</v>
      </c>
      <c r="C264" t="s">
        <v>310</v>
      </c>
      <c r="D264">
        <v>9</v>
      </c>
      <c r="E264" s="6">
        <v>45901</v>
      </c>
    </row>
    <row r="265" spans="1:5" x14ac:dyDescent="0.3">
      <c r="A265" s="5">
        <v>45921</v>
      </c>
      <c r="B265">
        <v>2025</v>
      </c>
      <c r="C265" t="s">
        <v>310</v>
      </c>
      <c r="D265">
        <v>9</v>
      </c>
      <c r="E265" s="6">
        <v>45901</v>
      </c>
    </row>
    <row r="266" spans="1:5" x14ac:dyDescent="0.3">
      <c r="A266" s="5">
        <v>45922</v>
      </c>
      <c r="B266">
        <v>2025</v>
      </c>
      <c r="C266" t="s">
        <v>310</v>
      </c>
      <c r="D266">
        <v>9</v>
      </c>
      <c r="E266" s="6">
        <v>45901</v>
      </c>
    </row>
    <row r="267" spans="1:5" x14ac:dyDescent="0.3">
      <c r="A267" s="5">
        <v>45923</v>
      </c>
      <c r="B267">
        <v>2025</v>
      </c>
      <c r="C267" t="s">
        <v>310</v>
      </c>
      <c r="D267">
        <v>9</v>
      </c>
      <c r="E267" s="6">
        <v>45901</v>
      </c>
    </row>
    <row r="268" spans="1:5" x14ac:dyDescent="0.3">
      <c r="A268" s="5">
        <v>45924</v>
      </c>
      <c r="B268">
        <v>2025</v>
      </c>
      <c r="C268" t="s">
        <v>310</v>
      </c>
      <c r="D268">
        <v>9</v>
      </c>
      <c r="E268" s="6">
        <v>45901</v>
      </c>
    </row>
    <row r="269" spans="1:5" x14ac:dyDescent="0.3">
      <c r="A269" s="5">
        <v>45925</v>
      </c>
      <c r="B269">
        <v>2025</v>
      </c>
      <c r="C269" t="s">
        <v>310</v>
      </c>
      <c r="D269">
        <v>9</v>
      </c>
      <c r="E269" s="6">
        <v>45901</v>
      </c>
    </row>
    <row r="270" spans="1:5" x14ac:dyDescent="0.3">
      <c r="A270" s="5">
        <v>45926</v>
      </c>
      <c r="B270">
        <v>2025</v>
      </c>
      <c r="C270" t="s">
        <v>310</v>
      </c>
      <c r="D270">
        <v>9</v>
      </c>
      <c r="E270" s="6">
        <v>45901</v>
      </c>
    </row>
    <row r="271" spans="1:5" x14ac:dyDescent="0.3">
      <c r="A271" s="5">
        <v>45927</v>
      </c>
      <c r="B271">
        <v>2025</v>
      </c>
      <c r="C271" t="s">
        <v>310</v>
      </c>
      <c r="D271">
        <v>9</v>
      </c>
      <c r="E271" s="6">
        <v>45901</v>
      </c>
    </row>
    <row r="272" spans="1:5" x14ac:dyDescent="0.3">
      <c r="A272" s="5">
        <v>45928</v>
      </c>
      <c r="B272">
        <v>2025</v>
      </c>
      <c r="C272" t="s">
        <v>310</v>
      </c>
      <c r="D272">
        <v>9</v>
      </c>
      <c r="E272" s="6">
        <v>45901</v>
      </c>
    </row>
    <row r="273" spans="1:5" x14ac:dyDescent="0.3">
      <c r="A273" s="5">
        <v>45929</v>
      </c>
      <c r="B273">
        <v>2025</v>
      </c>
      <c r="C273" t="s">
        <v>310</v>
      </c>
      <c r="D273">
        <v>9</v>
      </c>
      <c r="E273" s="6">
        <v>45901</v>
      </c>
    </row>
    <row r="274" spans="1:5" x14ac:dyDescent="0.3">
      <c r="A274" s="5">
        <v>45930</v>
      </c>
      <c r="B274">
        <v>2025</v>
      </c>
      <c r="C274" t="s">
        <v>310</v>
      </c>
      <c r="D274">
        <v>9</v>
      </c>
      <c r="E274" s="6">
        <v>45901</v>
      </c>
    </row>
    <row r="275" spans="1:5" x14ac:dyDescent="0.3">
      <c r="A275" s="5">
        <v>45931</v>
      </c>
      <c r="B275">
        <v>2025</v>
      </c>
      <c r="C275" t="s">
        <v>311</v>
      </c>
      <c r="D275">
        <v>10</v>
      </c>
      <c r="E275" s="6">
        <v>45931</v>
      </c>
    </row>
    <row r="276" spans="1:5" x14ac:dyDescent="0.3">
      <c r="A276" s="5">
        <v>45932</v>
      </c>
      <c r="B276">
        <v>2025</v>
      </c>
      <c r="C276" t="s">
        <v>311</v>
      </c>
      <c r="D276">
        <v>10</v>
      </c>
      <c r="E276" s="6">
        <v>45931</v>
      </c>
    </row>
    <row r="277" spans="1:5" x14ac:dyDescent="0.3">
      <c r="A277" s="5">
        <v>45933</v>
      </c>
      <c r="B277">
        <v>2025</v>
      </c>
      <c r="C277" t="s">
        <v>311</v>
      </c>
      <c r="D277">
        <v>10</v>
      </c>
      <c r="E277" s="6">
        <v>45931</v>
      </c>
    </row>
    <row r="278" spans="1:5" x14ac:dyDescent="0.3">
      <c r="A278" s="5">
        <v>45934</v>
      </c>
      <c r="B278">
        <v>2025</v>
      </c>
      <c r="C278" t="s">
        <v>311</v>
      </c>
      <c r="D278">
        <v>10</v>
      </c>
      <c r="E278" s="6">
        <v>45931</v>
      </c>
    </row>
    <row r="279" spans="1:5" x14ac:dyDescent="0.3">
      <c r="A279" s="5">
        <v>45935</v>
      </c>
      <c r="B279">
        <v>2025</v>
      </c>
      <c r="C279" t="s">
        <v>311</v>
      </c>
      <c r="D279">
        <v>10</v>
      </c>
      <c r="E279" s="6">
        <v>45931</v>
      </c>
    </row>
    <row r="280" spans="1:5" x14ac:dyDescent="0.3">
      <c r="A280" s="5">
        <v>45936</v>
      </c>
      <c r="B280">
        <v>2025</v>
      </c>
      <c r="C280" t="s">
        <v>311</v>
      </c>
      <c r="D280">
        <v>10</v>
      </c>
      <c r="E280" s="6">
        <v>45931</v>
      </c>
    </row>
    <row r="281" spans="1:5" x14ac:dyDescent="0.3">
      <c r="A281" s="5">
        <v>45937</v>
      </c>
      <c r="B281">
        <v>2025</v>
      </c>
      <c r="C281" t="s">
        <v>311</v>
      </c>
      <c r="D281">
        <v>10</v>
      </c>
      <c r="E281" s="6">
        <v>45931</v>
      </c>
    </row>
    <row r="282" spans="1:5" x14ac:dyDescent="0.3">
      <c r="A282" s="5">
        <v>45938</v>
      </c>
      <c r="B282">
        <v>2025</v>
      </c>
      <c r="C282" t="s">
        <v>311</v>
      </c>
      <c r="D282">
        <v>10</v>
      </c>
      <c r="E282" s="6">
        <v>45931</v>
      </c>
    </row>
    <row r="283" spans="1:5" x14ac:dyDescent="0.3">
      <c r="A283" s="5">
        <v>45939</v>
      </c>
      <c r="B283">
        <v>2025</v>
      </c>
      <c r="C283" t="s">
        <v>311</v>
      </c>
      <c r="D283">
        <v>10</v>
      </c>
      <c r="E283" s="6">
        <v>45931</v>
      </c>
    </row>
    <row r="284" spans="1:5" x14ac:dyDescent="0.3">
      <c r="A284" s="5">
        <v>45940</v>
      </c>
      <c r="B284">
        <v>2025</v>
      </c>
      <c r="C284" t="s">
        <v>311</v>
      </c>
      <c r="D284">
        <v>10</v>
      </c>
      <c r="E284" s="6">
        <v>45931</v>
      </c>
    </row>
    <row r="285" spans="1:5" x14ac:dyDescent="0.3">
      <c r="A285" s="5">
        <v>45941</v>
      </c>
      <c r="B285">
        <v>2025</v>
      </c>
      <c r="C285" t="s">
        <v>311</v>
      </c>
      <c r="D285">
        <v>10</v>
      </c>
      <c r="E285" s="6">
        <v>45931</v>
      </c>
    </row>
    <row r="286" spans="1:5" x14ac:dyDescent="0.3">
      <c r="A286" s="5">
        <v>45942</v>
      </c>
      <c r="B286">
        <v>2025</v>
      </c>
      <c r="C286" t="s">
        <v>311</v>
      </c>
      <c r="D286">
        <v>10</v>
      </c>
      <c r="E286" s="6">
        <v>45931</v>
      </c>
    </row>
    <row r="287" spans="1:5" x14ac:dyDescent="0.3">
      <c r="A287" s="5">
        <v>45943</v>
      </c>
      <c r="B287">
        <v>2025</v>
      </c>
      <c r="C287" t="s">
        <v>311</v>
      </c>
      <c r="D287">
        <v>10</v>
      </c>
      <c r="E287" s="6">
        <v>45931</v>
      </c>
    </row>
    <row r="288" spans="1:5" x14ac:dyDescent="0.3">
      <c r="A288" s="5">
        <v>45944</v>
      </c>
      <c r="B288">
        <v>2025</v>
      </c>
      <c r="C288" t="s">
        <v>311</v>
      </c>
      <c r="D288">
        <v>10</v>
      </c>
      <c r="E288" s="6">
        <v>45931</v>
      </c>
    </row>
    <row r="289" spans="1:5" x14ac:dyDescent="0.3">
      <c r="A289" s="5">
        <v>45945</v>
      </c>
      <c r="B289">
        <v>2025</v>
      </c>
      <c r="C289" t="s">
        <v>311</v>
      </c>
      <c r="D289">
        <v>10</v>
      </c>
      <c r="E289" s="6">
        <v>45931</v>
      </c>
    </row>
    <row r="290" spans="1:5" x14ac:dyDescent="0.3">
      <c r="A290" s="5">
        <v>45946</v>
      </c>
      <c r="B290">
        <v>2025</v>
      </c>
      <c r="C290" t="s">
        <v>311</v>
      </c>
      <c r="D290">
        <v>10</v>
      </c>
      <c r="E290" s="6">
        <v>45931</v>
      </c>
    </row>
    <row r="291" spans="1:5" x14ac:dyDescent="0.3">
      <c r="A291" s="5">
        <v>45947</v>
      </c>
      <c r="B291">
        <v>2025</v>
      </c>
      <c r="C291" t="s">
        <v>311</v>
      </c>
      <c r="D291">
        <v>10</v>
      </c>
      <c r="E291" s="6">
        <v>45931</v>
      </c>
    </row>
    <row r="292" spans="1:5" x14ac:dyDescent="0.3">
      <c r="A292" s="5">
        <v>45948</v>
      </c>
      <c r="B292">
        <v>2025</v>
      </c>
      <c r="C292" t="s">
        <v>311</v>
      </c>
      <c r="D292">
        <v>10</v>
      </c>
      <c r="E292" s="6">
        <v>45931</v>
      </c>
    </row>
    <row r="293" spans="1:5" x14ac:dyDescent="0.3">
      <c r="A293" s="5">
        <v>45949</v>
      </c>
      <c r="B293">
        <v>2025</v>
      </c>
      <c r="C293" t="s">
        <v>311</v>
      </c>
      <c r="D293">
        <v>10</v>
      </c>
      <c r="E293" s="6">
        <v>45931</v>
      </c>
    </row>
    <row r="294" spans="1:5" x14ac:dyDescent="0.3">
      <c r="A294" s="5">
        <v>45950</v>
      </c>
      <c r="B294">
        <v>2025</v>
      </c>
      <c r="C294" t="s">
        <v>311</v>
      </c>
      <c r="D294">
        <v>10</v>
      </c>
      <c r="E294" s="6">
        <v>45931</v>
      </c>
    </row>
    <row r="295" spans="1:5" x14ac:dyDescent="0.3">
      <c r="A295" s="5">
        <v>45951</v>
      </c>
      <c r="B295">
        <v>2025</v>
      </c>
      <c r="C295" t="s">
        <v>311</v>
      </c>
      <c r="D295">
        <v>10</v>
      </c>
      <c r="E295" s="6">
        <v>45931</v>
      </c>
    </row>
    <row r="296" spans="1:5" x14ac:dyDescent="0.3">
      <c r="A296" s="5">
        <v>45952</v>
      </c>
      <c r="B296">
        <v>2025</v>
      </c>
      <c r="C296" t="s">
        <v>311</v>
      </c>
      <c r="D296">
        <v>10</v>
      </c>
      <c r="E296" s="6">
        <v>45931</v>
      </c>
    </row>
    <row r="297" spans="1:5" x14ac:dyDescent="0.3">
      <c r="A297" s="5">
        <v>45953</v>
      </c>
      <c r="B297">
        <v>2025</v>
      </c>
      <c r="C297" t="s">
        <v>311</v>
      </c>
      <c r="D297">
        <v>10</v>
      </c>
      <c r="E297" s="6">
        <v>45931</v>
      </c>
    </row>
    <row r="298" spans="1:5" x14ac:dyDescent="0.3">
      <c r="A298" s="5">
        <v>45954</v>
      </c>
      <c r="B298">
        <v>2025</v>
      </c>
      <c r="C298" t="s">
        <v>311</v>
      </c>
      <c r="D298">
        <v>10</v>
      </c>
      <c r="E298" s="6">
        <v>45931</v>
      </c>
    </row>
    <row r="299" spans="1:5" x14ac:dyDescent="0.3">
      <c r="A299" s="5">
        <v>45955</v>
      </c>
      <c r="B299">
        <v>2025</v>
      </c>
      <c r="C299" t="s">
        <v>311</v>
      </c>
      <c r="D299">
        <v>10</v>
      </c>
      <c r="E299" s="6">
        <v>45931</v>
      </c>
    </row>
    <row r="300" spans="1:5" x14ac:dyDescent="0.3">
      <c r="A300" s="5">
        <v>45956</v>
      </c>
      <c r="B300">
        <v>2025</v>
      </c>
      <c r="C300" t="s">
        <v>311</v>
      </c>
      <c r="D300">
        <v>10</v>
      </c>
      <c r="E300" s="6">
        <v>45931</v>
      </c>
    </row>
    <row r="301" spans="1:5" x14ac:dyDescent="0.3">
      <c r="A301" s="5">
        <v>45957</v>
      </c>
      <c r="B301">
        <v>2025</v>
      </c>
      <c r="C301" t="s">
        <v>311</v>
      </c>
      <c r="D301">
        <v>10</v>
      </c>
      <c r="E301" s="6">
        <v>45931</v>
      </c>
    </row>
    <row r="302" spans="1:5" x14ac:dyDescent="0.3">
      <c r="A302" s="5">
        <v>45958</v>
      </c>
      <c r="B302">
        <v>2025</v>
      </c>
      <c r="C302" t="s">
        <v>311</v>
      </c>
      <c r="D302">
        <v>10</v>
      </c>
      <c r="E302" s="6">
        <v>45931</v>
      </c>
    </row>
    <row r="303" spans="1:5" x14ac:dyDescent="0.3">
      <c r="A303" s="5">
        <v>45959</v>
      </c>
      <c r="B303">
        <v>2025</v>
      </c>
      <c r="C303" t="s">
        <v>311</v>
      </c>
      <c r="D303">
        <v>10</v>
      </c>
      <c r="E303" s="6">
        <v>45931</v>
      </c>
    </row>
    <row r="304" spans="1:5" x14ac:dyDescent="0.3">
      <c r="A304" s="5">
        <v>45960</v>
      </c>
      <c r="B304">
        <v>2025</v>
      </c>
      <c r="C304" t="s">
        <v>311</v>
      </c>
      <c r="D304">
        <v>10</v>
      </c>
      <c r="E304" s="6">
        <v>45931</v>
      </c>
    </row>
    <row r="305" spans="1:5" x14ac:dyDescent="0.3">
      <c r="A305" s="5">
        <v>45961</v>
      </c>
      <c r="B305">
        <v>2025</v>
      </c>
      <c r="C305" t="s">
        <v>311</v>
      </c>
      <c r="D305">
        <v>10</v>
      </c>
      <c r="E305" s="6">
        <v>45931</v>
      </c>
    </row>
    <row r="306" spans="1:5" x14ac:dyDescent="0.3">
      <c r="A306" s="5">
        <v>45962</v>
      </c>
      <c r="B306">
        <v>2025</v>
      </c>
      <c r="C306" t="s">
        <v>312</v>
      </c>
      <c r="D306">
        <v>11</v>
      </c>
      <c r="E306" s="6">
        <v>45962</v>
      </c>
    </row>
    <row r="307" spans="1:5" x14ac:dyDescent="0.3">
      <c r="A307" s="5">
        <v>45963</v>
      </c>
      <c r="B307">
        <v>2025</v>
      </c>
      <c r="C307" t="s">
        <v>312</v>
      </c>
      <c r="D307">
        <v>11</v>
      </c>
      <c r="E307" s="6">
        <v>45962</v>
      </c>
    </row>
    <row r="308" spans="1:5" x14ac:dyDescent="0.3">
      <c r="A308" s="5">
        <v>45964</v>
      </c>
      <c r="B308">
        <v>2025</v>
      </c>
      <c r="C308" t="s">
        <v>312</v>
      </c>
      <c r="D308">
        <v>11</v>
      </c>
      <c r="E308" s="6">
        <v>45962</v>
      </c>
    </row>
    <row r="309" spans="1:5" x14ac:dyDescent="0.3">
      <c r="A309" s="5">
        <v>45965</v>
      </c>
      <c r="B309">
        <v>2025</v>
      </c>
      <c r="C309" t="s">
        <v>312</v>
      </c>
      <c r="D309">
        <v>11</v>
      </c>
      <c r="E309" s="6">
        <v>45962</v>
      </c>
    </row>
    <row r="310" spans="1:5" x14ac:dyDescent="0.3">
      <c r="A310" s="5">
        <v>45966</v>
      </c>
      <c r="B310">
        <v>2025</v>
      </c>
      <c r="C310" t="s">
        <v>312</v>
      </c>
      <c r="D310">
        <v>11</v>
      </c>
      <c r="E310" s="6">
        <v>45962</v>
      </c>
    </row>
    <row r="311" spans="1:5" x14ac:dyDescent="0.3">
      <c r="A311" s="5">
        <v>45967</v>
      </c>
      <c r="B311">
        <v>2025</v>
      </c>
      <c r="C311" t="s">
        <v>312</v>
      </c>
      <c r="D311">
        <v>11</v>
      </c>
      <c r="E311" s="6">
        <v>45962</v>
      </c>
    </row>
    <row r="312" spans="1:5" x14ac:dyDescent="0.3">
      <c r="A312" s="5">
        <v>45968</v>
      </c>
      <c r="B312">
        <v>2025</v>
      </c>
      <c r="C312" t="s">
        <v>312</v>
      </c>
      <c r="D312">
        <v>11</v>
      </c>
      <c r="E312" s="6">
        <v>45962</v>
      </c>
    </row>
    <row r="313" spans="1:5" x14ac:dyDescent="0.3">
      <c r="A313" s="5">
        <v>45969</v>
      </c>
      <c r="B313">
        <v>2025</v>
      </c>
      <c r="C313" t="s">
        <v>312</v>
      </c>
      <c r="D313">
        <v>11</v>
      </c>
      <c r="E313" s="6">
        <v>45962</v>
      </c>
    </row>
    <row r="314" spans="1:5" x14ac:dyDescent="0.3">
      <c r="A314" s="5">
        <v>45970</v>
      </c>
      <c r="B314">
        <v>2025</v>
      </c>
      <c r="C314" t="s">
        <v>312</v>
      </c>
      <c r="D314">
        <v>11</v>
      </c>
      <c r="E314" s="6">
        <v>45962</v>
      </c>
    </row>
    <row r="315" spans="1:5" x14ac:dyDescent="0.3">
      <c r="A315" s="5">
        <v>45971</v>
      </c>
      <c r="B315">
        <v>2025</v>
      </c>
      <c r="C315" t="s">
        <v>312</v>
      </c>
      <c r="D315">
        <v>11</v>
      </c>
      <c r="E315" s="6">
        <v>45962</v>
      </c>
    </row>
    <row r="316" spans="1:5" x14ac:dyDescent="0.3">
      <c r="A316" s="5">
        <v>45972</v>
      </c>
      <c r="B316">
        <v>2025</v>
      </c>
      <c r="C316" t="s">
        <v>312</v>
      </c>
      <c r="D316">
        <v>11</v>
      </c>
      <c r="E316" s="6">
        <v>45962</v>
      </c>
    </row>
    <row r="317" spans="1:5" x14ac:dyDescent="0.3">
      <c r="A317" s="5">
        <v>45973</v>
      </c>
      <c r="B317">
        <v>2025</v>
      </c>
      <c r="C317" t="s">
        <v>312</v>
      </c>
      <c r="D317">
        <v>11</v>
      </c>
      <c r="E317" s="6">
        <v>45962</v>
      </c>
    </row>
    <row r="318" spans="1:5" x14ac:dyDescent="0.3">
      <c r="A318" s="5">
        <v>45974</v>
      </c>
      <c r="B318">
        <v>2025</v>
      </c>
      <c r="C318" t="s">
        <v>312</v>
      </c>
      <c r="D318">
        <v>11</v>
      </c>
      <c r="E318" s="6">
        <v>45962</v>
      </c>
    </row>
    <row r="319" spans="1:5" x14ac:dyDescent="0.3">
      <c r="A319" s="5">
        <v>45975</v>
      </c>
      <c r="B319">
        <v>2025</v>
      </c>
      <c r="C319" t="s">
        <v>312</v>
      </c>
      <c r="D319">
        <v>11</v>
      </c>
      <c r="E319" s="6">
        <v>45962</v>
      </c>
    </row>
    <row r="320" spans="1:5" x14ac:dyDescent="0.3">
      <c r="A320" s="5">
        <v>45976</v>
      </c>
      <c r="B320">
        <v>2025</v>
      </c>
      <c r="C320" t="s">
        <v>312</v>
      </c>
      <c r="D320">
        <v>11</v>
      </c>
      <c r="E320" s="6">
        <v>45962</v>
      </c>
    </row>
    <row r="321" spans="1:5" x14ac:dyDescent="0.3">
      <c r="A321" s="5">
        <v>45977</v>
      </c>
      <c r="B321">
        <v>2025</v>
      </c>
      <c r="C321" t="s">
        <v>312</v>
      </c>
      <c r="D321">
        <v>11</v>
      </c>
      <c r="E321" s="6">
        <v>45962</v>
      </c>
    </row>
    <row r="322" spans="1:5" x14ac:dyDescent="0.3">
      <c r="A322" s="5">
        <v>45978</v>
      </c>
      <c r="B322">
        <v>2025</v>
      </c>
      <c r="C322" t="s">
        <v>312</v>
      </c>
      <c r="D322">
        <v>11</v>
      </c>
      <c r="E322" s="6">
        <v>45962</v>
      </c>
    </row>
    <row r="323" spans="1:5" x14ac:dyDescent="0.3">
      <c r="A323" s="5">
        <v>45979</v>
      </c>
      <c r="B323">
        <v>2025</v>
      </c>
      <c r="C323" t="s">
        <v>312</v>
      </c>
      <c r="D323">
        <v>11</v>
      </c>
      <c r="E323" s="6">
        <v>45962</v>
      </c>
    </row>
    <row r="324" spans="1:5" x14ac:dyDescent="0.3">
      <c r="A324" s="5">
        <v>45980</v>
      </c>
      <c r="B324">
        <v>2025</v>
      </c>
      <c r="C324" t="s">
        <v>312</v>
      </c>
      <c r="D324">
        <v>11</v>
      </c>
      <c r="E324" s="6">
        <v>45962</v>
      </c>
    </row>
    <row r="325" spans="1:5" x14ac:dyDescent="0.3">
      <c r="A325" s="5">
        <v>45981</v>
      </c>
      <c r="B325">
        <v>2025</v>
      </c>
      <c r="C325" t="s">
        <v>312</v>
      </c>
      <c r="D325">
        <v>11</v>
      </c>
      <c r="E325" s="6">
        <v>45962</v>
      </c>
    </row>
    <row r="326" spans="1:5" x14ac:dyDescent="0.3">
      <c r="A326" s="5">
        <v>45982</v>
      </c>
      <c r="B326">
        <v>2025</v>
      </c>
      <c r="C326" t="s">
        <v>312</v>
      </c>
      <c r="D326">
        <v>11</v>
      </c>
      <c r="E326" s="6">
        <v>45962</v>
      </c>
    </row>
    <row r="327" spans="1:5" x14ac:dyDescent="0.3">
      <c r="A327" s="5">
        <v>45983</v>
      </c>
      <c r="B327">
        <v>2025</v>
      </c>
      <c r="C327" t="s">
        <v>312</v>
      </c>
      <c r="D327">
        <v>11</v>
      </c>
      <c r="E327" s="6">
        <v>45962</v>
      </c>
    </row>
    <row r="328" spans="1:5" x14ac:dyDescent="0.3">
      <c r="A328" s="5">
        <v>45984</v>
      </c>
      <c r="B328">
        <v>2025</v>
      </c>
      <c r="C328" t="s">
        <v>312</v>
      </c>
      <c r="D328">
        <v>11</v>
      </c>
      <c r="E328" s="6">
        <v>45962</v>
      </c>
    </row>
    <row r="329" spans="1:5" x14ac:dyDescent="0.3">
      <c r="A329" s="5">
        <v>45985</v>
      </c>
      <c r="B329">
        <v>2025</v>
      </c>
      <c r="C329" t="s">
        <v>312</v>
      </c>
      <c r="D329">
        <v>11</v>
      </c>
      <c r="E329" s="6">
        <v>45962</v>
      </c>
    </row>
    <row r="330" spans="1:5" x14ac:dyDescent="0.3">
      <c r="A330" s="5">
        <v>45986</v>
      </c>
      <c r="B330">
        <v>2025</v>
      </c>
      <c r="C330" t="s">
        <v>312</v>
      </c>
      <c r="D330">
        <v>11</v>
      </c>
      <c r="E330" s="6">
        <v>45962</v>
      </c>
    </row>
    <row r="331" spans="1:5" x14ac:dyDescent="0.3">
      <c r="A331" s="5">
        <v>45987</v>
      </c>
      <c r="B331">
        <v>2025</v>
      </c>
      <c r="C331" t="s">
        <v>312</v>
      </c>
      <c r="D331">
        <v>11</v>
      </c>
      <c r="E331" s="6">
        <v>45962</v>
      </c>
    </row>
    <row r="332" spans="1:5" x14ac:dyDescent="0.3">
      <c r="A332" s="5">
        <v>45988</v>
      </c>
      <c r="B332">
        <v>2025</v>
      </c>
      <c r="C332" t="s">
        <v>312</v>
      </c>
      <c r="D332">
        <v>11</v>
      </c>
      <c r="E332" s="6">
        <v>45962</v>
      </c>
    </row>
    <row r="333" spans="1:5" x14ac:dyDescent="0.3">
      <c r="A333" s="5">
        <v>45989</v>
      </c>
      <c r="B333">
        <v>2025</v>
      </c>
      <c r="C333" t="s">
        <v>312</v>
      </c>
      <c r="D333">
        <v>11</v>
      </c>
      <c r="E333" s="6">
        <v>45962</v>
      </c>
    </row>
    <row r="334" spans="1:5" x14ac:dyDescent="0.3">
      <c r="A334" s="5">
        <v>45990</v>
      </c>
      <c r="B334">
        <v>2025</v>
      </c>
      <c r="C334" t="s">
        <v>312</v>
      </c>
      <c r="D334">
        <v>11</v>
      </c>
      <c r="E334" s="6">
        <v>45962</v>
      </c>
    </row>
    <row r="335" spans="1:5" x14ac:dyDescent="0.3">
      <c r="A335" s="5">
        <v>45991</v>
      </c>
      <c r="B335">
        <v>2025</v>
      </c>
      <c r="C335" t="s">
        <v>312</v>
      </c>
      <c r="D335">
        <v>11</v>
      </c>
      <c r="E335" s="6">
        <v>45962</v>
      </c>
    </row>
    <row r="336" spans="1:5" x14ac:dyDescent="0.3">
      <c r="A336" s="5">
        <v>45992</v>
      </c>
      <c r="B336">
        <v>2025</v>
      </c>
      <c r="C336" t="s">
        <v>313</v>
      </c>
      <c r="D336">
        <v>12</v>
      </c>
      <c r="E336" s="6">
        <v>45992</v>
      </c>
    </row>
    <row r="337" spans="1:5" x14ac:dyDescent="0.3">
      <c r="A337" s="5">
        <v>45993</v>
      </c>
      <c r="B337">
        <v>2025</v>
      </c>
      <c r="C337" t="s">
        <v>313</v>
      </c>
      <c r="D337">
        <v>12</v>
      </c>
      <c r="E337" s="6">
        <v>45992</v>
      </c>
    </row>
    <row r="338" spans="1:5" x14ac:dyDescent="0.3">
      <c r="A338" s="5">
        <v>45994</v>
      </c>
      <c r="B338">
        <v>2025</v>
      </c>
      <c r="C338" t="s">
        <v>313</v>
      </c>
      <c r="D338">
        <v>12</v>
      </c>
      <c r="E338" s="6">
        <v>45992</v>
      </c>
    </row>
    <row r="339" spans="1:5" x14ac:dyDescent="0.3">
      <c r="A339" s="5">
        <v>45995</v>
      </c>
      <c r="B339">
        <v>2025</v>
      </c>
      <c r="C339" t="s">
        <v>313</v>
      </c>
      <c r="D339">
        <v>12</v>
      </c>
      <c r="E339" s="6">
        <v>45992</v>
      </c>
    </row>
    <row r="340" spans="1:5" x14ac:dyDescent="0.3">
      <c r="A340" s="5">
        <v>45996</v>
      </c>
      <c r="B340">
        <v>2025</v>
      </c>
      <c r="C340" t="s">
        <v>313</v>
      </c>
      <c r="D340">
        <v>12</v>
      </c>
      <c r="E340" s="6">
        <v>45992</v>
      </c>
    </row>
    <row r="341" spans="1:5" x14ac:dyDescent="0.3">
      <c r="A341" s="5">
        <v>45997</v>
      </c>
      <c r="B341">
        <v>2025</v>
      </c>
      <c r="C341" t="s">
        <v>313</v>
      </c>
      <c r="D341">
        <v>12</v>
      </c>
      <c r="E341" s="6">
        <v>45992</v>
      </c>
    </row>
    <row r="342" spans="1:5" x14ac:dyDescent="0.3">
      <c r="A342" s="5">
        <v>45998</v>
      </c>
      <c r="B342">
        <v>2025</v>
      </c>
      <c r="C342" t="s">
        <v>313</v>
      </c>
      <c r="D342">
        <v>12</v>
      </c>
      <c r="E342" s="6">
        <v>45992</v>
      </c>
    </row>
    <row r="343" spans="1:5" x14ac:dyDescent="0.3">
      <c r="A343" s="5">
        <v>45999</v>
      </c>
      <c r="B343">
        <v>2025</v>
      </c>
      <c r="C343" t="s">
        <v>313</v>
      </c>
      <c r="D343">
        <v>12</v>
      </c>
      <c r="E343" s="6">
        <v>45992</v>
      </c>
    </row>
    <row r="344" spans="1:5" x14ac:dyDescent="0.3">
      <c r="A344" s="5">
        <v>46000</v>
      </c>
      <c r="B344">
        <v>2025</v>
      </c>
      <c r="C344" t="s">
        <v>313</v>
      </c>
      <c r="D344">
        <v>12</v>
      </c>
      <c r="E344" s="6">
        <v>45992</v>
      </c>
    </row>
    <row r="345" spans="1:5" x14ac:dyDescent="0.3">
      <c r="A345" s="5">
        <v>46001</v>
      </c>
      <c r="B345">
        <v>2025</v>
      </c>
      <c r="C345" t="s">
        <v>313</v>
      </c>
      <c r="D345">
        <v>12</v>
      </c>
      <c r="E345" s="6">
        <v>45992</v>
      </c>
    </row>
    <row r="346" spans="1:5" x14ac:dyDescent="0.3">
      <c r="A346" s="5">
        <v>46002</v>
      </c>
      <c r="B346">
        <v>2025</v>
      </c>
      <c r="C346" t="s">
        <v>313</v>
      </c>
      <c r="D346">
        <v>12</v>
      </c>
      <c r="E346" s="6">
        <v>45992</v>
      </c>
    </row>
    <row r="347" spans="1:5" x14ac:dyDescent="0.3">
      <c r="A347" s="5">
        <v>46003</v>
      </c>
      <c r="B347">
        <v>2025</v>
      </c>
      <c r="C347" t="s">
        <v>313</v>
      </c>
      <c r="D347">
        <v>12</v>
      </c>
      <c r="E347" s="6">
        <v>45992</v>
      </c>
    </row>
    <row r="348" spans="1:5" x14ac:dyDescent="0.3">
      <c r="A348" s="5">
        <v>46004</v>
      </c>
      <c r="B348">
        <v>2025</v>
      </c>
      <c r="C348" t="s">
        <v>313</v>
      </c>
      <c r="D348">
        <v>12</v>
      </c>
      <c r="E348" s="6">
        <v>45992</v>
      </c>
    </row>
    <row r="349" spans="1:5" x14ac:dyDescent="0.3">
      <c r="A349" s="5">
        <v>46005</v>
      </c>
      <c r="B349">
        <v>2025</v>
      </c>
      <c r="C349" t="s">
        <v>313</v>
      </c>
      <c r="D349">
        <v>12</v>
      </c>
      <c r="E349" s="6">
        <v>45992</v>
      </c>
    </row>
    <row r="350" spans="1:5" x14ac:dyDescent="0.3">
      <c r="A350" s="5">
        <v>46006</v>
      </c>
      <c r="B350">
        <v>2025</v>
      </c>
      <c r="C350" t="s">
        <v>313</v>
      </c>
      <c r="D350">
        <v>12</v>
      </c>
      <c r="E350" s="6">
        <v>45992</v>
      </c>
    </row>
    <row r="351" spans="1:5" x14ac:dyDescent="0.3">
      <c r="A351" s="5">
        <v>46007</v>
      </c>
      <c r="B351">
        <v>2025</v>
      </c>
      <c r="C351" t="s">
        <v>313</v>
      </c>
      <c r="D351">
        <v>12</v>
      </c>
      <c r="E351" s="6">
        <v>45992</v>
      </c>
    </row>
    <row r="352" spans="1:5" x14ac:dyDescent="0.3">
      <c r="A352" s="5">
        <v>46008</v>
      </c>
      <c r="B352">
        <v>2025</v>
      </c>
      <c r="C352" t="s">
        <v>313</v>
      </c>
      <c r="D352">
        <v>12</v>
      </c>
      <c r="E352" s="6">
        <v>45992</v>
      </c>
    </row>
    <row r="353" spans="1:5" x14ac:dyDescent="0.3">
      <c r="A353" s="5">
        <v>46009</v>
      </c>
      <c r="B353">
        <v>2025</v>
      </c>
      <c r="C353" t="s">
        <v>313</v>
      </c>
      <c r="D353">
        <v>12</v>
      </c>
      <c r="E353" s="6">
        <v>45992</v>
      </c>
    </row>
    <row r="354" spans="1:5" x14ac:dyDescent="0.3">
      <c r="A354" s="5">
        <v>46010</v>
      </c>
      <c r="B354">
        <v>2025</v>
      </c>
      <c r="C354" t="s">
        <v>313</v>
      </c>
      <c r="D354">
        <v>12</v>
      </c>
      <c r="E354" s="6">
        <v>45992</v>
      </c>
    </row>
    <row r="355" spans="1:5" x14ac:dyDescent="0.3">
      <c r="A355" s="5">
        <v>46011</v>
      </c>
      <c r="B355">
        <v>2025</v>
      </c>
      <c r="C355" t="s">
        <v>313</v>
      </c>
      <c r="D355">
        <v>12</v>
      </c>
      <c r="E355" s="6">
        <v>45992</v>
      </c>
    </row>
    <row r="356" spans="1:5" x14ac:dyDescent="0.3">
      <c r="A356" s="5">
        <v>46012</v>
      </c>
      <c r="B356">
        <v>2025</v>
      </c>
      <c r="C356" t="s">
        <v>313</v>
      </c>
      <c r="D356">
        <v>12</v>
      </c>
      <c r="E356" s="6">
        <v>45992</v>
      </c>
    </row>
    <row r="357" spans="1:5" x14ac:dyDescent="0.3">
      <c r="A357" s="5">
        <v>46013</v>
      </c>
      <c r="B357">
        <v>2025</v>
      </c>
      <c r="C357" t="s">
        <v>313</v>
      </c>
      <c r="D357">
        <v>12</v>
      </c>
      <c r="E357" s="6">
        <v>45992</v>
      </c>
    </row>
    <row r="358" spans="1:5" x14ac:dyDescent="0.3">
      <c r="A358" s="5">
        <v>46014</v>
      </c>
      <c r="B358">
        <v>2025</v>
      </c>
      <c r="C358" t="s">
        <v>313</v>
      </c>
      <c r="D358">
        <v>12</v>
      </c>
      <c r="E358" s="6">
        <v>45992</v>
      </c>
    </row>
    <row r="359" spans="1:5" x14ac:dyDescent="0.3">
      <c r="A359" s="5">
        <v>46015</v>
      </c>
      <c r="B359">
        <v>2025</v>
      </c>
      <c r="C359" t="s">
        <v>313</v>
      </c>
      <c r="D359">
        <v>12</v>
      </c>
      <c r="E359" s="6">
        <v>45992</v>
      </c>
    </row>
    <row r="360" spans="1:5" x14ac:dyDescent="0.3">
      <c r="A360" s="5">
        <v>46016</v>
      </c>
      <c r="B360">
        <v>2025</v>
      </c>
      <c r="C360" t="s">
        <v>313</v>
      </c>
      <c r="D360">
        <v>12</v>
      </c>
      <c r="E360" s="6">
        <v>45992</v>
      </c>
    </row>
    <row r="361" spans="1:5" x14ac:dyDescent="0.3">
      <c r="A361" s="5">
        <v>46017</v>
      </c>
      <c r="B361">
        <v>2025</v>
      </c>
      <c r="C361" t="s">
        <v>313</v>
      </c>
      <c r="D361">
        <v>12</v>
      </c>
      <c r="E361" s="6">
        <v>45992</v>
      </c>
    </row>
    <row r="362" spans="1:5" x14ac:dyDescent="0.3">
      <c r="A362" s="5">
        <v>46018</v>
      </c>
      <c r="B362">
        <v>2025</v>
      </c>
      <c r="C362" t="s">
        <v>313</v>
      </c>
      <c r="D362">
        <v>12</v>
      </c>
      <c r="E362" s="6">
        <v>45992</v>
      </c>
    </row>
    <row r="363" spans="1:5" x14ac:dyDescent="0.3">
      <c r="A363" s="5">
        <v>46019</v>
      </c>
      <c r="B363">
        <v>2025</v>
      </c>
      <c r="C363" t="s">
        <v>313</v>
      </c>
      <c r="D363">
        <v>12</v>
      </c>
      <c r="E363" s="6">
        <v>45992</v>
      </c>
    </row>
    <row r="364" spans="1:5" x14ac:dyDescent="0.3">
      <c r="A364" s="5">
        <v>46020</v>
      </c>
      <c r="B364">
        <v>2025</v>
      </c>
      <c r="C364" t="s">
        <v>313</v>
      </c>
      <c r="D364">
        <v>12</v>
      </c>
      <c r="E364" s="6">
        <v>45992</v>
      </c>
    </row>
    <row r="365" spans="1:5" x14ac:dyDescent="0.3">
      <c r="A365" s="5">
        <v>46021</v>
      </c>
      <c r="B365">
        <v>2025</v>
      </c>
      <c r="C365" t="s">
        <v>313</v>
      </c>
      <c r="D365">
        <v>12</v>
      </c>
      <c r="E365" s="6">
        <v>45992</v>
      </c>
    </row>
    <row r="366" spans="1:5" x14ac:dyDescent="0.3">
      <c r="A366" s="5">
        <v>46022</v>
      </c>
      <c r="B366">
        <v>2025</v>
      </c>
      <c r="C366" t="s">
        <v>313</v>
      </c>
      <c r="D366">
        <v>12</v>
      </c>
      <c r="E366" s="6">
        <v>45992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105C-C78D-4025-844E-155AFF9B0FF1}">
  <dimension ref="A1:C11"/>
  <sheetViews>
    <sheetView tabSelected="1" zoomScale="141" workbookViewId="0">
      <selection activeCell="B12" sqref="B12"/>
    </sheetView>
  </sheetViews>
  <sheetFormatPr defaultRowHeight="14.4" x14ac:dyDescent="0.3"/>
  <cols>
    <col min="1" max="1" width="36.5546875" customWidth="1"/>
    <col min="2" max="2" width="10.6640625" customWidth="1"/>
    <col min="3" max="3" width="9.33203125" customWidth="1"/>
  </cols>
  <sheetData>
    <row r="1" spans="1:3" x14ac:dyDescent="0.3">
      <c r="A1" t="s">
        <v>314</v>
      </c>
      <c r="B1" t="s">
        <v>315</v>
      </c>
      <c r="C1" t="s">
        <v>316</v>
      </c>
    </row>
    <row r="2" spans="1:3" x14ac:dyDescent="0.3">
      <c r="A2" t="s">
        <v>317</v>
      </c>
      <c r="B2">
        <f>COUNTBLANK(PurchaseOrders!C2:C51)</f>
        <v>0</v>
      </c>
    </row>
    <row r="3" spans="1:3" x14ac:dyDescent="0.3">
      <c r="A3" t="s">
        <v>318</v>
      </c>
      <c r="B3">
        <f>COUNTBLANK(PurchaseOrders!C2:C51)</f>
        <v>0</v>
      </c>
    </row>
    <row r="4" spans="1:3" x14ac:dyDescent="0.3">
      <c r="A4" t="s">
        <v>319</v>
      </c>
      <c r="B4" cm="1">
        <f t="array" ref="B4">SUMPRODUCT(--(COUNTIF(PurchaseOrders!A2:A51,PurchaseOrders!A2:A51)&gt;1))</f>
        <v>0</v>
      </c>
    </row>
    <row r="5" spans="1:3" x14ac:dyDescent="0.3">
      <c r="A5" t="s">
        <v>320</v>
      </c>
      <c r="B5">
        <f>COUNTBLANK(PurchaseOrders!G2:G51)</f>
        <v>0</v>
      </c>
    </row>
    <row r="6" spans="1:3" x14ac:dyDescent="0.3">
      <c r="A6" t="s">
        <v>321</v>
      </c>
      <c r="B6">
        <f>COUNTIF(PurchaseOrders!E2:E51,"&lt;=0")</f>
        <v>0</v>
      </c>
    </row>
    <row r="7" spans="1:3" x14ac:dyDescent="0.3">
      <c r="A7" t="s">
        <v>322</v>
      </c>
      <c r="B7">
        <f>COUNTIF(InventoryTransactions!E2:E101,"&lt;=0")</f>
        <v>0</v>
      </c>
    </row>
    <row r="8" spans="1:3" x14ac:dyDescent="0.3">
      <c r="A8" t="s">
        <v>323</v>
      </c>
      <c r="B8" cm="1">
        <f t="array" ref="B8">SUMPRODUCT(--(PurchaseOrders!D2:D51&lt;&gt;""),--(COUNTIF(Products!A2:A11,PurchaseOrders!D2:D51)=0))</f>
        <v>0</v>
      </c>
    </row>
    <row r="9" spans="1:3" x14ac:dyDescent="0.3">
      <c r="A9" t="s">
        <v>324</v>
      </c>
      <c r="B9" cm="1">
        <f t="array" ref="B9">SUMPRODUCT(--(PurchaseOrders!C2:C51&lt;&gt;""),--ISNA(MATCH(PurchaseOrders!C2:C51,Supplier!A2:A11,0)))</f>
        <v>0</v>
      </c>
    </row>
    <row r="10" spans="1:3" x14ac:dyDescent="0.3">
      <c r="A10" t="s">
        <v>325</v>
      </c>
      <c r="B10" cm="1">
        <f t="array" ref="B10">SUMPRODUCT(--(InventoryTransactions!C2:C101&lt;&gt;""),--ISNA(MATCH(InventoryTransactions!C2:C101,Products!A2:A11,0)))</f>
        <v>0</v>
      </c>
    </row>
    <row r="11" spans="1:3" x14ac:dyDescent="0.3">
      <c r="A11" t="s">
        <v>326</v>
      </c>
      <c r="B11" cm="1">
        <f t="array" ref="B11">SUMPRODUCT(--(COUNTIF(InventoryTransactions!A2:A101,InventoryTransactions!A2:A101)&gt;1))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Supplier</vt:lpstr>
      <vt:lpstr>PurchaseOrders</vt:lpstr>
      <vt:lpstr>InventoryTransactions</vt:lpstr>
      <vt:lpstr>DemandForecast</vt:lpstr>
      <vt:lpstr>Calender</vt:lpstr>
      <vt:lpstr>DataQualityChecks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shraddha06aug@outlook.com</cp:lastModifiedBy>
  <dcterms:created xsi:type="dcterms:W3CDTF">2026-08-09T11:37:42Z</dcterms:created>
  <dcterms:modified xsi:type="dcterms:W3CDTF">2026-08-10T13:47:58Z</dcterms:modified>
</cp:coreProperties>
</file>